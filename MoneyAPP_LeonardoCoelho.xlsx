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086524\Downloads\"/>
    </mc:Choice>
  </mc:AlternateContent>
  <xr:revisionPtr revIDLastSave="0" documentId="13_ncr:1_{7E0F2607-F95A-4A98-8A62-A74F3C69E1E5}" xr6:coauthVersionLast="47" xr6:coauthVersionMax="47" xr10:uidLastSave="{00000000-0000-0000-0000-000000000000}"/>
  <bookViews>
    <workbookView xWindow="-100" yWindow="-100" windowWidth="21467" windowHeight="11443" tabRatio="555" firstSheet="2" activeTab="2" xr2:uid="{D2421200-27A1-4BD0-8CEC-2A5B1015E9CF}"/>
  </bookViews>
  <sheets>
    <sheet name="Data" sheetId="1" state="hidden" r:id="rId1"/>
    <sheet name="Controlier" sheetId="3" state="hidden" r:id="rId2"/>
    <sheet name="Dashboard" sheetId="4" r:id="rId3"/>
    <sheet name="Caixinha" sheetId="5" state="hidden" r:id="rId4"/>
  </sheets>
  <definedNames>
    <definedName name="SegmentaçãodeDados_Mês">#N/A</definedName>
  </definedNames>
  <calcPr calcId="191029"/>
  <pivotCaches>
    <pivotCache cacheId="2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</calcChain>
</file>

<file path=xl/sharedStrings.xml><?xml version="1.0" encoding="utf-8"?>
<sst xmlns="http://schemas.openxmlformats.org/spreadsheetml/2006/main" count="254" uniqueCount="80">
  <si>
    <t xml:space="preserve">Data </t>
  </si>
  <si>
    <t>Tipo</t>
  </si>
  <si>
    <t>Categoria</t>
  </si>
  <si>
    <t>Descrição</t>
  </si>
  <si>
    <t>Valor</t>
  </si>
  <si>
    <t>Operação Bancária</t>
  </si>
  <si>
    <t>Status</t>
  </si>
  <si>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</si>
  <si>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</si>
  <si>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</si>
  <si>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</si>
  <si>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</si>
  <si>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</si>
  <si>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</si>
  <si>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</si>
  <si>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</si>
  <si>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</si>
  <si>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</si>
  <si>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</si>
  <si>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</si>
  <si>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</si>
  <si>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</si>
  <si>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</si>
  <si>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</si>
  <si>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</si>
  <si>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</si>
  <si>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</si>
  <si>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</si>
  <si>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</si>
  <si>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</si>
  <si>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</si>
  <si>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</si>
  <si>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</si>
  <si>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</si>
  <si>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</si>
  <si>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</si>
  <si>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</si>
  <si>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</si>
  <si>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</si>
  <si>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</si>
  <si>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</si>
  <si>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</si>
  <si>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</si>
  <si>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</si>
  <si>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</si>
  <si>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</si>
  <si>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</si>
  <si>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</si>
  <si>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</si>
  <si>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</si>
  <si>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</si>
  <si>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</si>
  <si>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</si>
  <si>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</si>
  <si>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</si>
  <si>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</si>
  <si>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</si>
  <si>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</si>
  <si>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</si>
  <si>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</si>
  <si>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</si>
  <si>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</si>
  <si>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</si>
  <si>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</si>
  <si>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</si>
  <si>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</si>
  <si>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</si>
  <si>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</si>
  <si>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</si>
  <si>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</si>
  <si>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</si>
  <si>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</si>
  <si>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Rótulos de Linha</t>
  </si>
  <si>
    <t>Total Geral</t>
  </si>
  <si>
    <t>Soma de Valor</t>
  </si>
  <si>
    <t>Mês</t>
  </si>
  <si>
    <t>Data de lançamento</t>
  </si>
  <si>
    <t>Deposito reservado</t>
  </si>
  <si>
    <t>Total Reservado</t>
  </si>
  <si>
    <t>Meta de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</si>
</sst>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6F5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wrapText="1"/>
    </xf>
    <xf numFmtId="14" fontId="0" fillId="0" borderId="0" xfId="0" applyNumberFormat="1"/>
    <xf numFmtId="4" fontId="0" fillId="0" borderId="0" xfId="0" applyNumberFormat="1"/>
    <xf numFmtId="4" fontId="0" fillId="0" borderId="0" xfId="1" applyNumberFormat="1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2" borderId="0" xfId="0" applyFill="1"/>
    <xf numFmtId="0" fontId="0" fillId="3" borderId="0" xfId="0" applyFill="1"/>
    <xf numFmtId="1" fontId="0" fillId="0" borderId="0" xfId="0" applyNumberFormat="1"/>
    <xf numFmtId="1" fontId="0" fillId="0" borderId="0" xfId="0" applyNumberFormat="1" applyAlignment="1">
      <alignment horizontal="center" wrapText="1"/>
    </xf>
    <xf numFmtId="165" fontId="0" fillId="2" borderId="0" xfId="0" applyNumberFormat="1" applyFill="1"/>
    <xf numFmtId="0" fontId="2" fillId="2" borderId="0" xfId="0" applyFont="1" applyFill="1"/>
  </cellXfs>
  <cellStyles count="2">
    <cellStyle name="Moeda" xfId="1" builtinId="4"/>
    <cellStyle name="Normal" xfId="0" builtinId="0"/>
  </cellStyles>
  <dxfs count="13">
    <dxf>
      <font>
        <color theme="0"/>
        <name val="Segoe UI"/>
        <family val="2"/>
        <scheme val="none"/>
      </font>
      <border>
        <bottom style="thin">
          <color theme="5"/>
        </bottom>
        <vertical/>
        <horizontal/>
      </border>
    </dxf>
    <dxf>
      <font>
        <color theme="0"/>
      </font>
      <fill>
        <patternFill>
          <bgColor rgb="FFFB6F54"/>
        </patternFill>
      </fill>
      <border diagonalUp="0" diagonalDown="0">
        <left/>
        <right/>
        <top/>
        <bottom/>
        <vertical/>
        <horizontal/>
      </border>
    </dxf>
    <dxf>
      <numFmt numFmtId="165" formatCode="&quot;R$&quot;\ #,##0.00"/>
    </dxf>
    <dxf>
      <numFmt numFmtId="165" formatCode="&quot;R$&quot;\ #,##0.00"/>
    </dxf>
    <dxf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1" defaultTableStyle="TableStyleMedium2" defaultPivotStyle="PivotStyleLight16">
    <tableStyle name="My Style" pivot="0" table="0" count="10" xr9:uid="{F01E5CD9-B286-4BE1-9A1A-69BEE4DF01AE}">
      <tableStyleElement type="wholeTable" dxfId="1"/>
      <tableStyleElement type="headerRow" dxfId="0"/>
    </tableStyle>
  </tableStyles>
  <colors>
    <mruColors>
      <color rgb="FFFB6F54"/>
      <color rgb="FFF6BF54"/>
      <color rgb="FFFB6FB4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  <name val="Segoe UI"/>
            <family val="2"/>
            <scheme val="none"/>
          </font>
          <fill>
            <patternFill patternType="solid">
              <fgColor theme="0" tint="-0.14996795556505021"/>
              <bgColor theme="0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  <name val="Segoe UI"/>
            <family val="2"/>
            <scheme val="none"/>
          </font>
          <fill>
            <patternFill patternType="solid">
              <fgColor theme="5"/>
              <bgColor rgb="FFF6BF54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theme="0" tint="-4.9989318521683403E-2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/>
            <name val="Segoe UI"/>
            <family val="2"/>
            <scheme val="none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  <name val="Segoe UI"/>
            <family val="2"/>
            <scheme val="none"/>
          </font>
          <fill>
            <patternFill patternType="solid">
              <fgColor theme="5" tint="0.59999389629810485"/>
              <bgColor theme="0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  <name val="Segoe UI"/>
            <family val="2"/>
            <scheme val="none"/>
          </font>
          <fill>
            <patternFill patternType="solid">
              <fgColor theme="5"/>
              <bgColor rgb="FFF6BF54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theme="0" tint="-4.9989318521683403E-2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/>
            <name val="Segoe UI"/>
            <family val="2"/>
            <scheme val="none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y Styl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[MoneyAPP_LeonardoCoelho.xlsx]Controlier!Tabela dinâmica1</c:name>
    <c:fmtId val="3"/>
  </c:pivotSource>
  <c:chart>
    <c:autoTitleDeleted val="1"/>
    <c:pivotFmts>
      <c:pivotFmt>
        <c:idx val="0"/>
        <c:spPr>
          <a:solidFill>
            <a:schemeClr val="tx1"/>
          </a:solidFill>
          <a:ln>
            <a:solidFill>
              <a:schemeClr val="tx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"/>
        <c:spPr>
          <a:solidFill>
            <a:schemeClr val="tx1"/>
          </a:solidFill>
          <a:ln>
            <a:solidFill>
              <a:schemeClr val="tx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2"/>
        <c:spPr>
          <a:gradFill>
            <a:gsLst>
              <a:gs pos="0">
                <a:srgbClr val="FB6F54"/>
              </a:gs>
              <a:gs pos="90000">
                <a:schemeClr val="bg1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Controlier!$D$3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B6F54"/>
                </a:gs>
                <a:gs pos="90000">
                  <a:schemeClr val="bg1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Controlier!$C$4:$C$14</c:f>
              <c:strCache>
                <c:ptCount val="10"/>
                <c:pt idx="0">
                  <c:v>Alimentação</c:v>
                </c:pt>
                <c:pt idx="1">
                  <c:v>Educação</c:v>
                </c:pt>
                <c:pt idx="2">
                  <c:v>Eletrônicos</c:v>
                </c:pt>
                <c:pt idx="3">
                  <c:v>Lazer</c:v>
                </c:pt>
                <c:pt idx="4">
                  <c:v>Presentes</c:v>
                </c:pt>
                <c:pt idx="5">
                  <c:v>Saúde</c:v>
                </c:pt>
                <c:pt idx="6">
                  <c:v>Serviços</c:v>
                </c:pt>
                <c:pt idx="7">
                  <c:v>Transporte</c:v>
                </c:pt>
                <c:pt idx="8">
                  <c:v>Utilidades Dom.</c:v>
                </c:pt>
                <c:pt idx="9">
                  <c:v>Vestuário</c:v>
                </c:pt>
              </c:strCache>
            </c:strRef>
          </c:cat>
          <c:val>
            <c:numRef>
              <c:f>Controlier!$D$4:$D$14</c:f>
              <c:numCache>
                <c:formatCode>"R$"\ #,##0.00</c:formatCode>
                <c:ptCount val="10"/>
                <c:pt idx="0">
                  <c:v>450</c:v>
                </c:pt>
                <c:pt idx="1">
                  <c:v>350</c:v>
                </c:pt>
                <c:pt idx="2">
                  <c:v>1500</c:v>
                </c:pt>
                <c:pt idx="3">
                  <c:v>200</c:v>
                </c:pt>
                <c:pt idx="4">
                  <c:v>400</c:v>
                </c:pt>
                <c:pt idx="5">
                  <c:v>600</c:v>
                </c:pt>
                <c:pt idx="6">
                  <c:v>800</c:v>
                </c:pt>
                <c:pt idx="7">
                  <c:v>300</c:v>
                </c:pt>
                <c:pt idx="8">
                  <c:v>250</c:v>
                </c:pt>
                <c:pt idx="9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7-4C1F-81F2-22189E6378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177060144"/>
        <c:axId val="1177060976"/>
      </c:barChart>
      <c:catAx>
        <c:axId val="117706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7060976"/>
        <c:crosses val="autoZero"/>
        <c:auto val="1"/>
        <c:lblAlgn val="ctr"/>
        <c:lblOffset val="100"/>
        <c:noMultiLvlLbl val="0"/>
      </c:catAx>
      <c:valAx>
        <c:axId val="117706097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1770601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[MoneyAPP_LeonardoCoelho.xlsx]Controlier!Tabela dinâmica2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B6F54"/>
              </a:gs>
              <a:gs pos="90000">
                <a:schemeClr val="bg1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FB6F54"/>
              </a:gs>
              <a:gs pos="90000">
                <a:schemeClr val="bg1"/>
              </a:gs>
            </a:gsLst>
            <a:lin ang="5400000" scaled="1"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Controlier!$H$3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B6F54"/>
                </a:gs>
                <a:gs pos="90000">
                  <a:schemeClr val="bg1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Controlier!$G$4:$G$6</c:f>
              <c:strCache>
                <c:ptCount val="2"/>
                <c:pt idx="0">
                  <c:v>Freelance</c:v>
                </c:pt>
                <c:pt idx="1">
                  <c:v>Renda Fixa</c:v>
                </c:pt>
              </c:strCache>
            </c:strRef>
          </c:cat>
          <c:val>
            <c:numRef>
              <c:f>Controlier!$H$4:$H$6</c:f>
              <c:numCache>
                <c:formatCode>"R$"\ #,##0.00</c:formatCode>
                <c:ptCount val="2"/>
                <c:pt idx="0">
                  <c:v>1200</c:v>
                </c:pt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4-4780-84E8-D51C747DBB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6583936"/>
        <c:axId val="1726602240"/>
      </c:barChart>
      <c:catAx>
        <c:axId val="172658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6602240"/>
        <c:crosses val="autoZero"/>
        <c:auto val="1"/>
        <c:lblAlgn val="ctr"/>
        <c:lblOffset val="100"/>
        <c:noMultiLvlLbl val="0"/>
      </c:catAx>
      <c:valAx>
        <c:axId val="172660224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72658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Caixinha!$D$4</c:f>
              <c:numCache>
                <c:formatCode>"R$"\ #,##0.00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F-4940-BFA7-7B8CF93FC4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9164592"/>
        <c:axId val="979184976"/>
      </c:barChart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0">
                  <a:srgbClr val="FB6F54"/>
                </a:gs>
                <a:gs pos="90000">
                  <a:schemeClr val="bg1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Caixinha!$D$3</c:f>
              <c:numCache>
                <c:formatCode>"R$"\ #,##0.00</c:formatCode>
                <c:ptCount val="1"/>
                <c:pt idx="0">
                  <c:v>6848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F-4940-BFA7-7B8CF93FC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7266736"/>
        <c:axId val="977267152"/>
      </c:barChart>
      <c:catAx>
        <c:axId val="979164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9184976"/>
        <c:crosses val="autoZero"/>
        <c:auto val="1"/>
        <c:lblAlgn val="ctr"/>
        <c:lblOffset val="100"/>
        <c:noMultiLvlLbl val="0"/>
      </c:catAx>
      <c:valAx>
        <c:axId val="97918497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979164592"/>
        <c:crosses val="autoZero"/>
        <c:crossBetween val="between"/>
      </c:valAx>
      <c:valAx>
        <c:axId val="977267152"/>
        <c:scaling>
          <c:orientation val="minMax"/>
        </c:scaling>
        <c:delete val="1"/>
        <c:axPos val="r"/>
        <c:numFmt formatCode="&quot;R$&quot;\ #,##0.00" sourceLinked="1"/>
        <c:majorTickMark val="out"/>
        <c:minorTickMark val="none"/>
        <c:tickLblPos val="nextTo"/>
        <c:crossAx val="977266736"/>
        <c:crosses val="max"/>
        <c:crossBetween val="between"/>
      </c:valAx>
      <c:catAx>
        <c:axId val="977266736"/>
        <c:scaling>
          <c:orientation val="minMax"/>
        </c:scaling>
        <c:delete val="1"/>
        <c:axPos val="b"/>
        <c:majorTickMark val="out"/>
        <c:minorTickMark val="none"/>
        <c:tickLblPos val="nextTo"/>
        <c:crossAx val="9772671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10.png"/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12" Type="http://schemas.openxmlformats.org/officeDocument/2006/relationships/image" Target="../media/image9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image" Target="../media/image8.png"/><Relationship Id="rId5" Type="http://schemas.openxmlformats.org/officeDocument/2006/relationships/image" Target="../media/image3.png"/><Relationship Id="rId15" Type="http://schemas.openxmlformats.org/officeDocument/2006/relationships/chart" Target="../charts/chart3.xml"/><Relationship Id="rId10" Type="http://schemas.openxmlformats.org/officeDocument/2006/relationships/image" Target="../media/image7.png"/><Relationship Id="rId4" Type="http://schemas.openxmlformats.org/officeDocument/2006/relationships/chart" Target="../charts/chart2.xml"/><Relationship Id="rId9" Type="http://schemas.openxmlformats.org/officeDocument/2006/relationships/hyperlink" Target="#Data!A1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94239</xdr:colOff>
      <xdr:row>0</xdr:row>
      <xdr:rowOff>70338</xdr:rowOff>
    </xdr:from>
    <xdr:to>
      <xdr:col>20</xdr:col>
      <xdr:colOff>423981</xdr:colOff>
      <xdr:row>6</xdr:row>
      <xdr:rowOff>120581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5C9DBBD2-AF61-4AF4-A639-5B0DB413A588}"/>
            </a:ext>
          </a:extLst>
        </xdr:cNvPr>
        <xdr:cNvSpPr/>
      </xdr:nvSpPr>
      <xdr:spPr>
        <a:xfrm>
          <a:off x="2411271" y="70338"/>
          <a:ext cx="12121778" cy="114255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94239</xdr:colOff>
      <xdr:row>21</xdr:row>
      <xdr:rowOff>120581</xdr:rowOff>
    </xdr:from>
    <xdr:to>
      <xdr:col>20</xdr:col>
      <xdr:colOff>435338</xdr:colOff>
      <xdr:row>38</xdr:row>
      <xdr:rowOff>90436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3B232DD8-CEC4-8E2E-1372-A3FECA91D2D0}"/>
            </a:ext>
          </a:extLst>
        </xdr:cNvPr>
        <xdr:cNvGrpSpPr/>
      </xdr:nvGrpSpPr>
      <xdr:grpSpPr>
        <a:xfrm>
          <a:off x="2411271" y="3943683"/>
          <a:ext cx="12133135" cy="3064747"/>
          <a:chOff x="2410208" y="3410620"/>
          <a:chExt cx="12101731" cy="3629255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9E9A8D53-A93D-0AD9-3980-12A41D2364BA}"/>
              </a:ext>
            </a:extLst>
          </xdr:cNvPr>
          <xdr:cNvGrpSpPr/>
        </xdr:nvGrpSpPr>
        <xdr:grpSpPr>
          <a:xfrm>
            <a:off x="2410208" y="3410620"/>
            <a:ext cx="12101731" cy="3629255"/>
            <a:chOff x="2410852" y="3341814"/>
            <a:chExt cx="12004512" cy="3552268"/>
          </a:xfrm>
        </xdr:grpSpPr>
        <xdr:grpSp>
          <xdr:nvGrpSpPr>
            <xdr:cNvPr id="11" name="Agrupar 10">
              <a:extLst>
                <a:ext uri="{FF2B5EF4-FFF2-40B4-BE49-F238E27FC236}">
                  <a16:creationId xmlns:a16="http://schemas.microsoft.com/office/drawing/2014/main" id="{12FFD77A-7A97-56D7-3FE1-B7F44738104D}"/>
                </a:ext>
              </a:extLst>
            </xdr:cNvPr>
            <xdr:cNvGrpSpPr/>
          </xdr:nvGrpSpPr>
          <xdr:grpSpPr>
            <a:xfrm>
              <a:off x="2410852" y="3341814"/>
              <a:ext cx="12004512" cy="3552268"/>
              <a:chOff x="2410852" y="3341814"/>
              <a:chExt cx="12004512" cy="3552268"/>
            </a:xfrm>
          </xdr:grpSpPr>
          <xdr:sp macro="" textlink="">
            <xdr:nvSpPr>
              <xdr:cNvPr id="5" name="Retângulo: Cantos Arredondados 4">
                <a:extLst>
                  <a:ext uri="{FF2B5EF4-FFF2-40B4-BE49-F238E27FC236}">
                    <a16:creationId xmlns:a16="http://schemas.microsoft.com/office/drawing/2014/main" id="{1FEDDF18-B012-4631-8D26-516ABF654C6F}"/>
                  </a:ext>
                </a:extLst>
              </xdr:cNvPr>
              <xdr:cNvSpPr/>
            </xdr:nvSpPr>
            <xdr:spPr>
              <a:xfrm>
                <a:off x="2416933" y="3355084"/>
                <a:ext cx="11993317" cy="3538998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10" name="Retângulo: Cantos Superiores Arredondados 9">
                <a:extLst>
                  <a:ext uri="{FF2B5EF4-FFF2-40B4-BE49-F238E27FC236}">
                    <a16:creationId xmlns:a16="http://schemas.microsoft.com/office/drawing/2014/main" id="{C6784D1E-587F-41C0-8BE0-492B0C6AA3EC}"/>
                  </a:ext>
                </a:extLst>
              </xdr:cNvPr>
              <xdr:cNvSpPr/>
            </xdr:nvSpPr>
            <xdr:spPr>
              <a:xfrm>
                <a:off x="2410852" y="3341814"/>
                <a:ext cx="12004512" cy="798057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FB6F54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AF70F26-E43B-489B-AE4A-8F5661A2C049}"/>
                </a:ext>
              </a:extLst>
            </xdr:cNvPr>
            <xdr:cNvGraphicFramePr>
              <a:graphicFrameLocks/>
            </xdr:cNvGraphicFramePr>
          </xdr:nvGraphicFramePr>
          <xdr:xfrm>
            <a:off x="2905228" y="4048915"/>
            <a:ext cx="11124097" cy="265927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D75FA6D1-12E3-4358-8918-D1ED2859BB4B}"/>
                </a:ext>
              </a:extLst>
            </xdr:cNvPr>
            <xdr:cNvSpPr txBox="1"/>
          </xdr:nvSpPr>
          <xdr:spPr>
            <a:xfrm>
              <a:off x="3464569" y="3504130"/>
              <a:ext cx="4348196" cy="5371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>
                  <a:solidFill>
                    <a:schemeClr val="bg1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rPr>
                <a:t>Gastos</a:t>
              </a:r>
            </a:p>
          </xdr:txBody>
        </xdr:sp>
      </xdr:grpSp>
      <xdr:pic>
        <xdr:nvPicPr>
          <xdr:cNvPr id="17" name="Gráfico 16" descr="Dinheiro voador estrutura de tópicos">
            <a:extLst>
              <a:ext uri="{FF2B5EF4-FFF2-40B4-BE49-F238E27FC236}">
                <a16:creationId xmlns:a16="http://schemas.microsoft.com/office/drawing/2014/main" id="{C0FC1434-4EDD-9DAD-3670-E319B33190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774531" y="3499018"/>
            <a:ext cx="618980" cy="62537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94239</xdr:colOff>
      <xdr:row>7</xdr:row>
      <xdr:rowOff>27190</xdr:rowOff>
    </xdr:from>
    <xdr:to>
      <xdr:col>9</xdr:col>
      <xdr:colOff>49650</xdr:colOff>
      <xdr:row>21</xdr:row>
      <xdr:rowOff>9834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741A20A1-9C7E-8806-29EF-BDAFAC60A076}"/>
            </a:ext>
          </a:extLst>
        </xdr:cNvPr>
        <xdr:cNvGrpSpPr/>
      </xdr:nvGrpSpPr>
      <xdr:grpSpPr>
        <a:xfrm>
          <a:off x="2411271" y="1301557"/>
          <a:ext cx="4920479" cy="2531379"/>
          <a:chOff x="2411379" y="115099"/>
          <a:chExt cx="5282981" cy="2872916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331E35EF-E57B-1AF1-61DB-8250C1ADFA98}"/>
              </a:ext>
            </a:extLst>
          </xdr:cNvPr>
          <xdr:cNvGrpSpPr/>
        </xdr:nvGrpSpPr>
        <xdr:grpSpPr>
          <a:xfrm>
            <a:off x="2411379" y="115099"/>
            <a:ext cx="5282981" cy="2872916"/>
            <a:chOff x="2415887" y="115099"/>
            <a:chExt cx="5282981" cy="2872916"/>
          </a:xfrm>
        </xdr:grpSpPr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DD35B082-E46D-93B2-0701-4E1DC2521DD6}"/>
                </a:ext>
              </a:extLst>
            </xdr:cNvPr>
            <xdr:cNvGrpSpPr/>
          </xdr:nvGrpSpPr>
          <xdr:grpSpPr>
            <a:xfrm>
              <a:off x="2415887" y="115099"/>
              <a:ext cx="5221001" cy="2872916"/>
              <a:chOff x="2416870" y="102803"/>
              <a:chExt cx="5244612" cy="2963911"/>
            </a:xfrm>
          </xdr:grpSpPr>
          <xdr:sp macro="" textlink="">
            <xdr:nvSpPr>
              <xdr:cNvPr id="4" name="Retângulo: Cantos Arredondados 3">
                <a:extLst>
                  <a:ext uri="{FF2B5EF4-FFF2-40B4-BE49-F238E27FC236}">
                    <a16:creationId xmlns:a16="http://schemas.microsoft.com/office/drawing/2014/main" id="{85EF1230-8F44-1E5B-5346-E8A5613E59DE}"/>
                  </a:ext>
                </a:extLst>
              </xdr:cNvPr>
              <xdr:cNvSpPr/>
            </xdr:nvSpPr>
            <xdr:spPr>
              <a:xfrm>
                <a:off x="2422636" y="140677"/>
                <a:ext cx="5229571" cy="2926037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7" name="Retângulo: Cantos Superiores Arredondados 6">
                <a:extLst>
                  <a:ext uri="{FF2B5EF4-FFF2-40B4-BE49-F238E27FC236}">
                    <a16:creationId xmlns:a16="http://schemas.microsoft.com/office/drawing/2014/main" id="{DE51AC83-CBD6-A9E8-4998-9C5775BFDC98}"/>
                  </a:ext>
                </a:extLst>
              </xdr:cNvPr>
              <xdr:cNvSpPr/>
            </xdr:nvSpPr>
            <xdr:spPr>
              <a:xfrm>
                <a:off x="2416870" y="102803"/>
                <a:ext cx="5244612" cy="689277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FB6F54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2975767-A18B-4737-BC0B-6C874BCD3CA6}"/>
                </a:ext>
              </a:extLst>
            </xdr:cNvPr>
            <xdr:cNvGraphicFramePr>
              <a:graphicFrameLocks/>
            </xdr:cNvGraphicFramePr>
          </xdr:nvGraphicFramePr>
          <xdr:xfrm>
            <a:off x="2475597" y="900490"/>
            <a:ext cx="5095429" cy="191101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5DC6FB9C-7ECF-45E5-31C8-28693BC88C38}"/>
                </a:ext>
              </a:extLst>
            </xdr:cNvPr>
            <xdr:cNvSpPr txBox="1"/>
          </xdr:nvSpPr>
          <xdr:spPr>
            <a:xfrm>
              <a:off x="3350672" y="230199"/>
              <a:ext cx="4348196" cy="5371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>
                  <a:solidFill>
                    <a:schemeClr val="bg1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rPr>
                <a:t>Entrada</a:t>
              </a:r>
            </a:p>
          </xdr:txBody>
        </xdr:sp>
      </xdr:grpSp>
      <xdr:pic>
        <xdr:nvPicPr>
          <xdr:cNvPr id="19" name="Gráfico 18" descr="Registrar estrutura de tópicos">
            <a:extLst>
              <a:ext uri="{FF2B5EF4-FFF2-40B4-BE49-F238E27FC236}">
                <a16:creationId xmlns:a16="http://schemas.microsoft.com/office/drawing/2014/main" id="{0E40C467-EA7C-841A-DC5E-4FC87850E4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707762" y="137211"/>
            <a:ext cx="630118" cy="630118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133585</xdr:colOff>
      <xdr:row>6</xdr:row>
      <xdr:rowOff>139031</xdr:rowOff>
    </xdr:from>
    <xdr:to>
      <xdr:col>0</xdr:col>
      <xdr:colOff>2143255</xdr:colOff>
      <xdr:row>13</xdr:row>
      <xdr:rowOff>179099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2" name="Meses">
              <a:extLst>
                <a:ext uri="{FF2B5EF4-FFF2-40B4-BE49-F238E27FC236}">
                  <a16:creationId xmlns:a16="http://schemas.microsoft.com/office/drawing/2014/main" id="{672C2ADA-2DF3-4307-8F79-3D4FB9C335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585" y="1231346"/>
              <a:ext cx="2009670" cy="1314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544287</xdr:colOff>
      <xdr:row>1</xdr:row>
      <xdr:rowOff>40195</xdr:rowOff>
    </xdr:from>
    <xdr:to>
      <xdr:col>9</xdr:col>
      <xdr:colOff>591647</xdr:colOff>
      <xdr:row>3</xdr:row>
      <xdr:rowOff>148635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D337FC7E-A962-4F50-AB13-13B910CF4809}"/>
            </a:ext>
          </a:extLst>
        </xdr:cNvPr>
        <xdr:cNvSpPr txBox="1"/>
      </xdr:nvSpPr>
      <xdr:spPr>
        <a:xfrm>
          <a:off x="3478406" y="221065"/>
          <a:ext cx="4408344" cy="470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Hello,</a:t>
          </a:r>
          <a:r>
            <a:rPr lang="pt-BR" sz="2000" baseline="0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Leonardo</a:t>
          </a:r>
          <a:endParaRPr lang="pt-BR" sz="2000">
            <a:solidFill>
              <a:schemeClr val="tx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2</xdr:col>
      <xdr:colOff>544287</xdr:colOff>
      <xdr:row>3</xdr:row>
      <xdr:rowOff>92111</xdr:rowOff>
    </xdr:from>
    <xdr:to>
      <xdr:col>9</xdr:col>
      <xdr:colOff>591647</xdr:colOff>
      <xdr:row>6</xdr:row>
      <xdr:rowOff>19682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9773B29-DA2C-48FF-BC86-D56DBC2E542B}"/>
            </a:ext>
          </a:extLst>
        </xdr:cNvPr>
        <xdr:cNvSpPr txBox="1"/>
      </xdr:nvSpPr>
      <xdr:spPr>
        <a:xfrm>
          <a:off x="3478406" y="634722"/>
          <a:ext cx="4408344" cy="470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Acompanhamento financeiro</a:t>
          </a:r>
        </a:p>
      </xdr:txBody>
    </xdr:sp>
    <xdr:clientData/>
  </xdr:twoCellAnchor>
  <xdr:twoCellAnchor>
    <xdr:from>
      <xdr:col>7</xdr:col>
      <xdr:colOff>20097</xdr:colOff>
      <xdr:row>2</xdr:row>
      <xdr:rowOff>100484</xdr:rowOff>
    </xdr:from>
    <xdr:to>
      <xdr:col>14</xdr:col>
      <xdr:colOff>321547</xdr:colOff>
      <xdr:row>5</xdr:row>
      <xdr:rowOff>71598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4A5A7493-81CD-8C44-1A9E-CF64F8BB87A0}"/>
            </a:ext>
          </a:extLst>
        </xdr:cNvPr>
        <xdr:cNvGrpSpPr/>
      </xdr:nvGrpSpPr>
      <xdr:grpSpPr>
        <a:xfrm>
          <a:off x="6060930" y="464589"/>
          <a:ext cx="4645884" cy="517271"/>
          <a:chOff x="6069204" y="462224"/>
          <a:chExt cx="4662436" cy="513725"/>
        </a:xfrm>
      </xdr:grpSpPr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199515AA-9FDA-EDB6-73EB-1EED2ABD4291}"/>
              </a:ext>
            </a:extLst>
          </xdr:cNvPr>
          <xdr:cNvGrpSpPr/>
        </xdr:nvGrpSpPr>
        <xdr:grpSpPr>
          <a:xfrm>
            <a:off x="6069204" y="462224"/>
            <a:ext cx="4662436" cy="361741"/>
            <a:chOff x="6069204" y="462224"/>
            <a:chExt cx="4662436" cy="361741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F1813A75-325D-E04A-08C6-4A8AD1760FCE}"/>
                </a:ext>
              </a:extLst>
            </xdr:cNvPr>
            <xdr:cNvSpPr/>
          </xdr:nvSpPr>
          <xdr:spPr>
            <a:xfrm>
              <a:off x="6069204" y="462224"/>
              <a:ext cx="4662436" cy="361741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30" name="Gráfico 29" descr="Lupa com preenchimento sólido">
              <a:extLst>
                <a:ext uri="{FF2B5EF4-FFF2-40B4-BE49-F238E27FC236}">
                  <a16:creationId xmlns:a16="http://schemas.microsoft.com/office/drawing/2014/main" id="{00D6456C-4007-9E14-8D30-484ECE7D52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10359851" y="492372"/>
              <a:ext cx="281352" cy="281352"/>
            </a:xfrm>
            <a:prstGeom prst="rect">
              <a:avLst/>
            </a:prstGeom>
          </xdr:spPr>
        </xdr:pic>
      </xdr:grpSp>
      <xdr:sp macro="" textlink="">
        <xdr:nvSpPr>
          <xdr:cNvPr id="28" name="CaixaDeTexto 27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4029523D-39E0-429A-87F1-4B50D421F32C}"/>
              </a:ext>
            </a:extLst>
          </xdr:cNvPr>
          <xdr:cNvSpPr txBox="1"/>
        </xdr:nvSpPr>
        <xdr:spPr>
          <a:xfrm>
            <a:off x="6213233" y="505768"/>
            <a:ext cx="4408344" cy="4701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200">
                <a:solidFill>
                  <a:schemeClr val="bg1">
                    <a:lumMod val="6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pesquisar dados...</a:t>
            </a:r>
          </a:p>
        </xdr:txBody>
      </xdr:sp>
    </xdr:grpSp>
    <xdr:clientData/>
  </xdr:twoCellAnchor>
  <xdr:twoCellAnchor>
    <xdr:from>
      <xdr:col>0</xdr:col>
      <xdr:colOff>2244445</xdr:colOff>
      <xdr:row>1</xdr:row>
      <xdr:rowOff>8276</xdr:rowOff>
    </xdr:from>
    <xdr:to>
      <xdr:col>3</xdr:col>
      <xdr:colOff>33101</xdr:colOff>
      <xdr:row>5</xdr:row>
      <xdr:rowOff>80387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FB567735-98B8-DB39-0862-89BF43E07644}"/>
            </a:ext>
          </a:extLst>
        </xdr:cNvPr>
        <xdr:cNvGrpSpPr/>
      </xdr:nvGrpSpPr>
      <xdr:grpSpPr>
        <a:xfrm>
          <a:off x="2244445" y="190329"/>
          <a:ext cx="1346955" cy="800320"/>
          <a:chOff x="2244445" y="190329"/>
          <a:chExt cx="1346955" cy="800320"/>
        </a:xfrm>
      </xdr:grpSpPr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DAB0A653-FA1C-2AF1-0EB0-7F13921305B2}"/>
              </a:ext>
            </a:extLst>
          </xdr:cNvPr>
          <xdr:cNvSpPr/>
        </xdr:nvSpPr>
        <xdr:spPr>
          <a:xfrm>
            <a:off x="2578289" y="192101"/>
            <a:ext cx="791455" cy="798548"/>
          </a:xfrm>
          <a:prstGeom prst="rect">
            <a:avLst/>
          </a:prstGeom>
          <a:solidFill>
            <a:srgbClr val="FB6F5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33" name="Imagem 32" descr="Mascoteria – Mascotes e Personagens 3D – Mascotes incríveis para sua marca,  produto ou projeto.">
            <a:extLst>
              <a:ext uri="{FF2B5EF4-FFF2-40B4-BE49-F238E27FC236}">
                <a16:creationId xmlns:a16="http://schemas.microsoft.com/office/drawing/2014/main" id="{8BBD82ED-2FD3-A08D-FE9A-95DA3038C5A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4445" y="190329"/>
            <a:ext cx="1346955" cy="79882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1</xdr:row>
      <xdr:rowOff>107576</xdr:rowOff>
    </xdr:from>
    <xdr:to>
      <xdr:col>0</xdr:col>
      <xdr:colOff>2308757</xdr:colOff>
      <xdr:row>5</xdr:row>
      <xdr:rowOff>49651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C1C8A9B9-DE33-4E57-399F-0E79E6F7FBF2}"/>
            </a:ext>
          </a:extLst>
        </xdr:cNvPr>
        <xdr:cNvSpPr/>
      </xdr:nvSpPr>
      <xdr:spPr>
        <a:xfrm>
          <a:off x="0" y="289629"/>
          <a:ext cx="2308757" cy="670284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242344</xdr:colOff>
      <xdr:row>2</xdr:row>
      <xdr:rowOff>52014</xdr:rowOff>
    </xdr:from>
    <xdr:to>
      <xdr:col>0</xdr:col>
      <xdr:colOff>1688124</xdr:colOff>
      <xdr:row>4</xdr:row>
      <xdr:rowOff>161185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842B91DF-90DC-4D68-ABE2-09E534B1AA82}"/>
            </a:ext>
          </a:extLst>
        </xdr:cNvPr>
        <xdr:cNvSpPr txBox="1"/>
      </xdr:nvSpPr>
      <xdr:spPr>
        <a:xfrm>
          <a:off x="242344" y="416119"/>
          <a:ext cx="1445780" cy="473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Money APP</a:t>
          </a:r>
        </a:p>
      </xdr:txBody>
    </xdr:sp>
    <xdr:clientData/>
  </xdr:twoCellAnchor>
  <xdr:twoCellAnchor>
    <xdr:from>
      <xdr:col>9</xdr:col>
      <xdr:colOff>163888</xdr:colOff>
      <xdr:row>7</xdr:row>
      <xdr:rowOff>22363</xdr:rowOff>
    </xdr:from>
    <xdr:to>
      <xdr:col>17</xdr:col>
      <xdr:colOff>119300</xdr:colOff>
      <xdr:row>21</xdr:row>
      <xdr:rowOff>5007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E05E7D3C-B26E-8C23-2D61-7C8F4A760672}"/>
            </a:ext>
          </a:extLst>
        </xdr:cNvPr>
        <xdr:cNvGrpSpPr/>
      </xdr:nvGrpSpPr>
      <xdr:grpSpPr>
        <a:xfrm>
          <a:off x="7445988" y="1296730"/>
          <a:ext cx="4920479" cy="2531379"/>
          <a:chOff x="2415887" y="115099"/>
          <a:chExt cx="5282981" cy="2872916"/>
        </a:xfrm>
      </xdr:grpSpPr>
      <xdr:grpSp>
        <xdr:nvGrpSpPr>
          <xdr:cNvPr id="43" name="Agrupar 42">
            <a:extLst>
              <a:ext uri="{FF2B5EF4-FFF2-40B4-BE49-F238E27FC236}">
                <a16:creationId xmlns:a16="http://schemas.microsoft.com/office/drawing/2014/main" id="{1AEB1289-8AFB-BA55-D356-F60AC75000B0}"/>
              </a:ext>
            </a:extLst>
          </xdr:cNvPr>
          <xdr:cNvGrpSpPr/>
        </xdr:nvGrpSpPr>
        <xdr:grpSpPr>
          <a:xfrm>
            <a:off x="2415887" y="115099"/>
            <a:ext cx="5221001" cy="2872916"/>
            <a:chOff x="2416870" y="102803"/>
            <a:chExt cx="5244612" cy="2963911"/>
          </a:xfrm>
        </xdr:grpSpPr>
        <xdr:sp macro="" textlink="">
          <xdr:nvSpPr>
            <xdr:cNvPr id="46" name="Retângulo: Cantos Arredondados 45">
              <a:extLst>
                <a:ext uri="{FF2B5EF4-FFF2-40B4-BE49-F238E27FC236}">
                  <a16:creationId xmlns:a16="http://schemas.microsoft.com/office/drawing/2014/main" id="{23BCD5AB-F8E1-F9D1-4DA4-FCAA6642B247}"/>
                </a:ext>
              </a:extLst>
            </xdr:cNvPr>
            <xdr:cNvSpPr/>
          </xdr:nvSpPr>
          <xdr:spPr>
            <a:xfrm>
              <a:off x="2422636" y="140677"/>
              <a:ext cx="5229571" cy="2926037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7" name="Retângulo: Cantos Superiores Arredondados 46">
              <a:extLst>
                <a:ext uri="{FF2B5EF4-FFF2-40B4-BE49-F238E27FC236}">
                  <a16:creationId xmlns:a16="http://schemas.microsoft.com/office/drawing/2014/main" id="{1F81111B-C220-9418-5911-67C8F0ACEF29}"/>
                </a:ext>
              </a:extLst>
            </xdr:cNvPr>
            <xdr:cNvSpPr/>
          </xdr:nvSpPr>
          <xdr:spPr>
            <a:xfrm>
              <a:off x="2416870" y="102803"/>
              <a:ext cx="5244612" cy="689277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FB6F54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3CAB5B85-CB00-D32D-B1A0-7C94AF9BECA6}"/>
              </a:ext>
            </a:extLst>
          </xdr:cNvPr>
          <xdr:cNvSpPr txBox="1"/>
        </xdr:nvSpPr>
        <xdr:spPr>
          <a:xfrm>
            <a:off x="3350672" y="230199"/>
            <a:ext cx="4348196" cy="5371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000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Economias</a:t>
            </a:r>
          </a:p>
        </xdr:txBody>
      </xdr:sp>
    </xdr:grpSp>
    <xdr:clientData/>
  </xdr:twoCellAnchor>
  <xdr:twoCellAnchor editAs="oneCell">
    <xdr:from>
      <xdr:col>9</xdr:col>
      <xdr:colOff>459268</xdr:colOff>
      <xdr:row>7</xdr:row>
      <xdr:rowOff>0</xdr:rowOff>
    </xdr:from>
    <xdr:to>
      <xdr:col>10</xdr:col>
      <xdr:colOff>500644</xdr:colOff>
      <xdr:row>10</xdr:row>
      <xdr:rowOff>115851</xdr:rowOff>
    </xdr:to>
    <xdr:pic>
      <xdr:nvPicPr>
        <xdr:cNvPr id="51" name="Gráfico 50" descr="Cofrinho estrutura de tópicos">
          <a:extLst>
            <a:ext uri="{FF2B5EF4-FFF2-40B4-BE49-F238E27FC236}">
              <a16:creationId xmlns:a16="http://schemas.microsoft.com/office/drawing/2014/main" id="{0C67509C-55C3-EF91-C31E-E74A06D2D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741368" y="1274367"/>
          <a:ext cx="662009" cy="662009"/>
        </a:xfrm>
        <a:prstGeom prst="rect">
          <a:avLst/>
        </a:prstGeom>
      </xdr:spPr>
    </xdr:pic>
    <xdr:clientData/>
  </xdr:twoCellAnchor>
  <xdr:twoCellAnchor editAs="oneCell">
    <xdr:from>
      <xdr:col>0</xdr:col>
      <xdr:colOff>1630198</xdr:colOff>
      <xdr:row>1</xdr:row>
      <xdr:rowOff>173777</xdr:rowOff>
    </xdr:from>
    <xdr:to>
      <xdr:col>0</xdr:col>
      <xdr:colOff>2106016</xdr:colOff>
      <xdr:row>4</xdr:row>
      <xdr:rowOff>103439</xdr:rowOff>
    </xdr:to>
    <xdr:pic>
      <xdr:nvPicPr>
        <xdr:cNvPr id="53" name="Gráfico 52" descr="Dinheiro com preenchimento sólido">
          <a:extLst>
            <a:ext uri="{FF2B5EF4-FFF2-40B4-BE49-F238E27FC236}">
              <a16:creationId xmlns:a16="http://schemas.microsoft.com/office/drawing/2014/main" id="{66C3D4E9-6074-50F0-0988-B72A0AB49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630198" y="355830"/>
          <a:ext cx="475818" cy="475818"/>
        </a:xfrm>
        <a:prstGeom prst="rect">
          <a:avLst/>
        </a:prstGeom>
      </xdr:spPr>
    </xdr:pic>
    <xdr:clientData/>
  </xdr:twoCellAnchor>
  <xdr:twoCellAnchor>
    <xdr:from>
      <xdr:col>10</xdr:col>
      <xdr:colOff>122513</xdr:colOff>
      <xdr:row>9</xdr:row>
      <xdr:rowOff>8274</xdr:rowOff>
    </xdr:from>
    <xdr:to>
      <xdr:col>16</xdr:col>
      <xdr:colOff>248253</xdr:colOff>
      <xdr:row>20</xdr:row>
      <xdr:rowOff>1675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59AA9C7-A487-47CA-8A35-CE404ED5F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de Camargo Coelho" refreshedDate="45674.480193981479" createdVersion="8" refreshedVersion="8" minRefreshableVersion="3" recordCount="44" xr:uid="{AF270795-8B37-42AF-B0A4-71FAD58E3A15}">
  <cacheSource type="worksheet">
    <worksheetSource name="tbl_operations"/>
  </cacheSource>
  <cacheFields count="8">
    <cacheField name="Data " numFmtId="14">
      <sharedItems containsSemiMixedTypes="0" containsNonDate="0" containsDate="1" containsString="0" minDate="2024-08-01T00:00:00" maxDate="2024-11-01T00:00:00"/>
    </cacheField>
    <cacheField name="Mês" numFmtId="1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4">
      <sharedItems containsSemiMixedTypes="0" containsString="0" containsNumber="1" containsInteger="1" minValue="90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2266305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d v="2024-08-01T00:00:00"/>
    <x v="0"/>
    <x v="0"/>
    <x v="0"/>
    <s v="Salário mensal"/>
    <n v="5000"/>
    <s v="Transferência"/>
    <s v="Recebido"/>
  </r>
  <r>
    <d v="2024-08-01T00:00:00"/>
    <x v="0"/>
    <x v="1"/>
    <x v="1"/>
    <s v="Compras no supermercado"/>
    <n v="550"/>
    <s v="Débito Automático"/>
    <s v="Pendente"/>
  </r>
  <r>
    <d v="2024-08-03T00:00:00"/>
    <x v="0"/>
    <x v="1"/>
    <x v="2"/>
    <s v="Gasolina"/>
    <n v="300"/>
    <s v="Cartão de Crédito"/>
    <s v="Pago"/>
  </r>
  <r>
    <d v="2024-08-05T00:00:00"/>
    <x v="0"/>
    <x v="1"/>
    <x v="3"/>
    <s v="Cinema"/>
    <n v="120"/>
    <s v="Cartão de Crédito"/>
    <s v="Pago"/>
  </r>
  <r>
    <d v="2024-08-07T00:00:00"/>
    <x v="0"/>
    <x v="1"/>
    <x v="4"/>
    <s v="Consulta odontológica"/>
    <n v="250"/>
    <s v="Transferência"/>
    <s v="Pago"/>
  </r>
  <r>
    <d v="2024-08-10T00:00:00"/>
    <x v="0"/>
    <x v="1"/>
    <x v="5"/>
    <s v="Material escolar"/>
    <n v="400"/>
    <s v="Débito Automático"/>
    <s v="Pendente"/>
  </r>
  <r>
    <d v="2024-08-12T00:00:00"/>
    <x v="0"/>
    <x v="1"/>
    <x v="6"/>
    <s v="Compra de roupas de inverno"/>
    <n v="600"/>
    <s v="Cartão de Crédito"/>
    <s v="Pendente"/>
  </r>
  <r>
    <d v="2024-08-15T00:00:00"/>
    <x v="0"/>
    <x v="0"/>
    <x v="7"/>
    <s v="Dividendos de ações"/>
    <n v="800"/>
    <s v="Transferência"/>
    <s v="Recebido"/>
  </r>
  <r>
    <d v="2024-08-15T00:00:00"/>
    <x v="0"/>
    <x v="1"/>
    <x v="8"/>
    <s v="Limpeza do apartamento"/>
    <n v="150"/>
    <s v="Transferência"/>
    <s v="Pago"/>
  </r>
  <r>
    <d v="2024-08-18T00:00:00"/>
    <x v="0"/>
    <x v="1"/>
    <x v="9"/>
    <s v="Compra de novo celular"/>
    <n v="1200"/>
    <s v="Cartão de Crédito"/>
    <s v="Pendente"/>
  </r>
  <r>
    <d v="2024-08-20T00:00:00"/>
    <x v="0"/>
    <x v="1"/>
    <x v="10"/>
    <s v="Reparos domésticos"/>
    <n v="450"/>
    <s v="Débito Automático"/>
    <s v="Pago"/>
  </r>
  <r>
    <d v="2024-08-22T00:00:00"/>
    <x v="0"/>
    <x v="1"/>
    <x v="11"/>
    <s v="Presente de aniversário"/>
    <n v="180"/>
    <s v="Transferência"/>
    <s v="Pendente"/>
  </r>
  <r>
    <d v="2024-08-24T00:00:00"/>
    <x v="0"/>
    <x v="1"/>
    <x v="12"/>
    <s v="Corte de cabelo e barba"/>
    <n v="90"/>
    <s v="Débito Automático"/>
    <s v="Pago"/>
  </r>
  <r>
    <d v="2024-08-28T00:00:00"/>
    <x v="0"/>
    <x v="1"/>
    <x v="13"/>
    <s v="Ração e petiscos para o cachorro"/>
    <n v="200"/>
    <s v="Débito Automático"/>
    <s v="Pago"/>
  </r>
  <r>
    <d v="2024-08-30T00:00:00"/>
    <x v="0"/>
    <x v="1"/>
    <x v="14"/>
    <s v="Reserva de pousada"/>
    <n v="750"/>
    <s v="Transferência"/>
    <s v="Pendente"/>
  </r>
  <r>
    <d v="2024-08-31T00:00:00"/>
    <x v="0"/>
    <x v="1"/>
    <x v="15"/>
    <s v="Jantar em restaurante francês"/>
    <n v="350"/>
    <s v="Cartão de Crédito"/>
    <s v="Pago"/>
  </r>
  <r>
    <d v="2024-09-01T00:00:00"/>
    <x v="1"/>
    <x v="0"/>
    <x v="0"/>
    <s v="Salário mensal"/>
    <n v="5000"/>
    <s v="Transferência"/>
    <s v="Recebido"/>
  </r>
  <r>
    <d v="2024-09-02T00:00:00"/>
    <x v="1"/>
    <x v="1"/>
    <x v="1"/>
    <s v="Compras no supermercado"/>
    <n v="450"/>
    <s v="Débito Automático"/>
    <s v="Pendente"/>
  </r>
  <r>
    <d v="2024-09-05T00:00:00"/>
    <x v="1"/>
    <x v="1"/>
    <x v="2"/>
    <s v="Gasolina"/>
    <n v="300"/>
    <s v="Débito Automático"/>
    <s v="Pago"/>
  </r>
  <r>
    <d v="2024-09-08T00:00:00"/>
    <x v="1"/>
    <x v="1"/>
    <x v="3"/>
    <s v="Cinema e jantar"/>
    <n v="200"/>
    <s v="Transferência"/>
    <s v="Pago"/>
  </r>
  <r>
    <d v="2024-09-11T00:00:00"/>
    <x v="1"/>
    <x v="1"/>
    <x v="4"/>
    <s v="Plano de saúde"/>
    <n v="600"/>
    <s v="Débito Automático"/>
    <s v="Pendente"/>
  </r>
  <r>
    <d v="2024-09-14T00:00:00"/>
    <x v="1"/>
    <x v="1"/>
    <x v="5"/>
    <s v="Material escolar"/>
    <n v="350"/>
    <s v="Transferência"/>
    <s v="Pago"/>
  </r>
  <r>
    <d v="2024-09-17T00:00:00"/>
    <x v="1"/>
    <x v="1"/>
    <x v="6"/>
    <s v="Compra de roupas"/>
    <n v="500"/>
    <s v="Cartão de Crédito"/>
    <s v="Pendente"/>
  </r>
  <r>
    <d v="2024-09-20T00:00:00"/>
    <x v="1"/>
    <x v="0"/>
    <x v="16"/>
    <s v="Pagamento por projeto freelancer"/>
    <n v="1200"/>
    <s v="Transferência"/>
    <s v="Recebido"/>
  </r>
  <r>
    <d v="2024-09-20T00:00:00"/>
    <x v="1"/>
    <x v="1"/>
    <x v="8"/>
    <s v="Manutenção do veículo"/>
    <n v="800"/>
    <s v="Transferência"/>
    <s v="Pago"/>
  </r>
  <r>
    <d v="2024-09-23T00:00:00"/>
    <x v="1"/>
    <x v="1"/>
    <x v="9"/>
    <s v="Compra de novo smartphone"/>
    <n v="1500"/>
    <s v="Cartão de Crédito"/>
    <s v="Pendente"/>
  </r>
  <r>
    <d v="2024-09-26T00:00:00"/>
    <x v="1"/>
    <x v="1"/>
    <x v="17"/>
    <s v="Conta de energia elétrica"/>
    <n v="250"/>
    <s v="Débito Automático"/>
    <s v="Pago"/>
  </r>
  <r>
    <d v="2024-09-29T00:00:00"/>
    <x v="1"/>
    <x v="1"/>
    <x v="11"/>
    <s v="Aniversário da mãe"/>
    <n v="400"/>
    <s v="Cartão de Crédito"/>
    <s v="Pendente"/>
  </r>
  <r>
    <d v="2024-10-01T00:00:00"/>
    <x v="2"/>
    <x v="0"/>
    <x v="0"/>
    <s v="Salário mensal"/>
    <n v="5000"/>
    <s v="Transferência"/>
    <s v="Recebido"/>
  </r>
  <r>
    <d v="2024-10-01T00:00:00"/>
    <x v="2"/>
    <x v="1"/>
    <x v="1"/>
    <s v="Compras no supermercado"/>
    <n v="600"/>
    <s v="Débito Automático"/>
    <s v="Pendente"/>
  </r>
  <r>
    <d v="2024-10-03T00:00:00"/>
    <x v="2"/>
    <x v="1"/>
    <x v="2"/>
    <s v="Recarga de cartão de transporte"/>
    <n v="200"/>
    <s v="Cartão de Crédito"/>
    <s v="Pago"/>
  </r>
  <r>
    <d v="2024-10-05T00:00:00"/>
    <x v="2"/>
    <x v="1"/>
    <x v="3"/>
    <s v="Ingressos para teatro"/>
    <n v="180"/>
    <s v="Transferência"/>
    <s v="Pago"/>
  </r>
  <r>
    <d v="2024-10-08T00:00:00"/>
    <x v="2"/>
    <x v="1"/>
    <x v="4"/>
    <s v="Remédios de farmácia"/>
    <n v="120"/>
    <s v="Débito Automático"/>
    <s v="Pendente"/>
  </r>
  <r>
    <d v="2024-10-10T00:00:00"/>
    <x v="2"/>
    <x v="1"/>
    <x v="5"/>
    <s v="Cursos online"/>
    <n v="350"/>
    <s v="Cartão de Crédito"/>
    <s v="Pendente"/>
  </r>
  <r>
    <d v="2024-10-13T00:00:00"/>
    <x v="2"/>
    <x v="1"/>
    <x v="6"/>
    <s v="Roupas de primavera"/>
    <n v="400"/>
    <s v="Transferência"/>
    <s v="Pago"/>
  </r>
  <r>
    <d v="2024-10-15T00:00:00"/>
    <x v="2"/>
    <x v="1"/>
    <x v="8"/>
    <s v="Manutenção da casa"/>
    <n v="450"/>
    <s v="Débito Automático"/>
    <s v="Pago"/>
  </r>
  <r>
    <d v="2024-10-18T00:00:00"/>
    <x v="2"/>
    <x v="0"/>
    <x v="18"/>
    <s v="Venda de equipamentos eletrônicos"/>
    <n v="1500"/>
    <s v="Transferência"/>
    <s v="Recebido"/>
  </r>
  <r>
    <d v="2024-10-18T00:00:00"/>
    <x v="2"/>
    <x v="1"/>
    <x v="9"/>
    <s v="Manutenção do computador"/>
    <n v="300"/>
    <s v="Cartão de Crédito"/>
    <s v="Pendente"/>
  </r>
  <r>
    <d v="2024-10-20T00:00:00"/>
    <x v="2"/>
    <x v="1"/>
    <x v="10"/>
    <s v="Troca de móveis da cozinha"/>
    <n v="800"/>
    <s v="Transferência"/>
    <s v="Pago"/>
  </r>
  <r>
    <d v="2024-10-22T00:00:00"/>
    <x v="2"/>
    <x v="1"/>
    <x v="11"/>
    <s v="Presentes para casamento"/>
    <n v="250"/>
    <s v="Cartão de Crédito"/>
    <s v="Pendente"/>
  </r>
  <r>
    <d v="2024-10-24T00:00:00"/>
    <x v="2"/>
    <x v="1"/>
    <x v="13"/>
    <s v="Veterinário para o pet"/>
    <n v="150"/>
    <s v="Débito Automático"/>
    <s v="Pago"/>
  </r>
  <r>
    <d v="2024-10-26T00:00:00"/>
    <x v="2"/>
    <x v="1"/>
    <x v="12"/>
    <s v="Salão de beleza"/>
    <n v="250"/>
    <s v="Transferência"/>
    <s v="Pendente"/>
  </r>
  <r>
    <d v="2024-10-30T00:00:00"/>
    <x v="2"/>
    <x v="1"/>
    <x v="15"/>
    <s v="Jantar em restaurante italiano"/>
    <n v="220"/>
    <s v="Transferência"/>
    <s v="Pendente"/>
  </r>
  <r>
    <d v="2024-10-31T00:00:00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D973B-EFF6-4637-A184-D5EF0CA1EAF9}" name="Tabela dinâmica2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G3:H6" firstHeaderRow="1" firstDataRow="1" firstDataCol="1" rowPageCount="1" colPageCount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" showAll="0"/>
    <pivotField showAll="0"/>
    <pivotField showAll="0"/>
  </pivotFields>
  <rowFields count="1">
    <field x="3"/>
  </rowFields>
  <rowItems count="3">
    <i>
      <x v="4"/>
    </i>
    <i>
      <x v="10"/>
    </i>
    <i t="grand">
      <x/>
    </i>
  </rowItems>
  <colItems count="1">
    <i/>
  </colItems>
  <pageFields count="1">
    <pageField fld="2" item="0" hier="-1"/>
  </pageFields>
  <dataFields count="1">
    <dataField name="Soma de Valor" fld="5" baseField="2" baseItem="0" numFmtId="165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1F285-40B5-467F-9A6D-ACC8E2B53687}" name="Tabela dinâmica1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3:D14" firstHeaderRow="1" firstDataRow="1" firstDataCol="1" rowPageCount="1" colPageCount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" showAll="0"/>
    <pivotField showAll="0"/>
    <pivotField showAll="0"/>
  </pivotFields>
  <rowFields count="1">
    <field x="3"/>
  </rowFields>
  <rowItems count="11">
    <i>
      <x/>
    </i>
    <i>
      <x v="2"/>
    </i>
    <i>
      <x v="3"/>
    </i>
    <i>
      <x v="7"/>
    </i>
    <i>
      <x v="9"/>
    </i>
    <i>
      <x v="11"/>
    </i>
    <i>
      <x v="12"/>
    </i>
    <i>
      <x v="13"/>
    </i>
    <i>
      <x v="14"/>
    </i>
    <i>
      <x v="17"/>
    </i>
    <i t="grand">
      <x/>
    </i>
  </rowItems>
  <colItems count="1">
    <i/>
  </colItems>
  <pageFields count="1">
    <pageField fld="2" hier="-1"/>
  </pageFields>
  <dataFields count="1">
    <dataField name="Soma de Valor" fld="5" baseField="2" baseItem="0" numFmtId="165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369F9FEC-1359-4DEF-A89C-36C8B4644FB7}" sourceName="Mês">
  <pivotTables>
    <pivotTable tabId="3" name="Tabela dinâmica1"/>
    <pivotTable tabId="3" name="Tabela dinâmica2"/>
  </pivotTables>
  <data>
    <tabular pivotCacheId="1226630528">
      <items count="3">
        <i x="0"/>
        <i x="1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" xr10:uid="{24754551-D19B-4FF2-A81B-24682402B144}" cache="SegmentaçãodeDados_Mês" caption="MÊS" style="My Style" rowHeight="241788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495364-E886-482A-9B6D-7790710C5994}" name="tbl_operations" displayName="tbl_operations" ref="A1:H45" totalsRowShown="0" dataDxfId="7">
  <autoFilter ref="A1:H45" xr:uid="{1E495364-E886-482A-9B6D-7790710C5994}"/>
  <tableColumns count="8">
    <tableColumn id="1" xr3:uid="{C138E394-E7FE-49E0-B442-B1E36BF21178}" name="Data " dataDxfId="6"/>
    <tableColumn id="10" xr3:uid="{849D64C6-911A-4ABB-9DD9-2124DBA514A9}" name="Mês" dataDxfId="4">
      <calculatedColumnFormula>MONTH(tbl_operations[[#This Row],[Data ]])</calculatedColumnFormula>
    </tableColumn>
    <tableColumn id="2" xr3:uid="{4F7FDE50-6370-4B31-8D4F-76627C7984E3}" name="Tipo" dataDxfId="12"/>
    <tableColumn id="3" xr3:uid="{56DC8E59-A83A-48A7-8407-D7C6FD63BD0E}" name="Categoria" dataDxfId="11"/>
    <tableColumn id="4" xr3:uid="{109B8A92-FA9F-4601-AA3B-7FD52FA74FEE}" name="Descrição" dataDxfId="10"/>
    <tableColumn id="5" xr3:uid="{255E6B15-0FD8-40A0-970E-C91070A426E4}" name="Valor" dataDxfId="5" dataCellStyle="Moeda"/>
    <tableColumn id="6" xr3:uid="{1ACBFCB8-382F-490D-A1D9-8721C2DAEFFD}" name="Operação Bancária" dataDxfId="9"/>
    <tableColumn id="7" xr3:uid="{01A8E917-40D9-4655-ACF4-D8448CA4EEB3}" name="Status" dataDxfId="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B53C7E-A49B-49D8-9627-5766DA7C4B06}" name="Tabela4" displayName="Tabela4" ref="C6:D21" totalsRowCount="1">
  <autoFilter ref="C6:D20" xr:uid="{CEB53C7E-A49B-49D8-9627-5766DA7C4B06}"/>
  <tableColumns count="2">
    <tableColumn id="1" xr3:uid="{868C71C6-0F60-46FA-B6FC-8F762F39AF78}" name="Data de lançamento"/>
    <tableColumn id="2" xr3:uid="{C1F2F439-6A4C-456F-8EDE-AF72A64701D4}" name="Deposito reservado" dataDxfId="3" totalsRow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4376-332F-4BE1-938D-9B84C016DFE3}">
  <sheetPr>
    <tabColor rgb="FF00B0F0"/>
  </sheetPr>
  <dimension ref="A1:H45"/>
  <sheetViews>
    <sheetView zoomScale="115" zoomScaleNormal="115" workbookViewId="0"/>
  </sheetViews>
  <sheetFormatPr defaultColWidth="67.09765625" defaultRowHeight="14.4" x14ac:dyDescent="0.3"/>
  <cols>
    <col min="1" max="1" width="10.59765625" style="4" bestFit="1" customWidth="1"/>
    <col min="2" max="2" width="10.59765625" style="12" customWidth="1"/>
    <col min="3" max="3" width="8.8984375" bestFit="1" customWidth="1"/>
    <col min="4" max="4" width="19.59765625" bestFit="1" customWidth="1"/>
    <col min="5" max="5" width="32.5" bestFit="1" customWidth="1"/>
    <col min="6" max="6" width="8" style="5" bestFit="1" customWidth="1"/>
    <col min="7" max="7" width="19" bestFit="1" customWidth="1"/>
    <col min="8" max="8" width="8.8984375" bestFit="1" customWidth="1"/>
  </cols>
  <sheetData>
    <row r="1" spans="1:8" x14ac:dyDescent="0.3">
      <c r="A1" s="4" t="s">
        <v>0</v>
      </c>
      <c r="B1" s="12" t="s">
        <v>75</v>
      </c>
      <c r="C1" t="s">
        <v>1</v>
      </c>
      <c r="D1" t="s">
        <v>2</v>
      </c>
      <c r="E1" t="s">
        <v>3</v>
      </c>
      <c r="F1" s="5" t="s">
        <v>4</v>
      </c>
      <c r="G1" t="s">
        <v>5</v>
      </c>
      <c r="H1" t="s">
        <v>6</v>
      </c>
    </row>
    <row r="2" spans="1:8" x14ac:dyDescent="0.3">
      <c r="A2" s="1">
        <v>45505</v>
      </c>
      <c r="B2" s="13">
        <f>MONTH(tbl_operations[[#This Row],[Data ]])</f>
        <v>8</v>
      </c>
      <c r="C2" s="2" t="s">
        <v>7</v>
      </c>
      <c r="D2" s="2" t="s">
        <v>8</v>
      </c>
      <c r="E2" s="2" t="s">
        <v>9</v>
      </c>
      <c r="F2" s="6">
        <v>5000</v>
      </c>
      <c r="G2" s="2" t="s">
        <v>10</v>
      </c>
      <c r="H2" s="2" t="s">
        <v>11</v>
      </c>
    </row>
    <row r="3" spans="1:8" x14ac:dyDescent="0.3">
      <c r="A3" s="1">
        <v>45505</v>
      </c>
      <c r="B3" s="13">
        <f>MONTH(tbl_operations[[#This Row],[Data ]])</f>
        <v>8</v>
      </c>
      <c r="C3" s="2" t="s">
        <v>12</v>
      </c>
      <c r="D3" s="2" t="s">
        <v>13</v>
      </c>
      <c r="E3" s="2" t="s">
        <v>14</v>
      </c>
      <c r="F3" s="6">
        <v>550</v>
      </c>
      <c r="G3" s="2" t="s">
        <v>15</v>
      </c>
      <c r="H3" s="2" t="s">
        <v>16</v>
      </c>
    </row>
    <row r="4" spans="1:8" x14ac:dyDescent="0.3">
      <c r="A4" s="1">
        <v>45507</v>
      </c>
      <c r="B4" s="13">
        <f>MONTH(tbl_operations[[#This Row],[Data ]])</f>
        <v>8</v>
      </c>
      <c r="C4" s="2" t="s">
        <v>12</v>
      </c>
      <c r="D4" s="2" t="s">
        <v>17</v>
      </c>
      <c r="E4" s="2" t="s">
        <v>18</v>
      </c>
      <c r="F4" s="6">
        <v>300</v>
      </c>
      <c r="G4" s="2" t="s">
        <v>19</v>
      </c>
      <c r="H4" s="2" t="s">
        <v>20</v>
      </c>
    </row>
    <row r="5" spans="1:8" x14ac:dyDescent="0.3">
      <c r="A5" s="1">
        <v>45509</v>
      </c>
      <c r="B5" s="13">
        <f>MONTH(tbl_operations[[#This Row],[Data ]])</f>
        <v>8</v>
      </c>
      <c r="C5" s="2" t="s">
        <v>12</v>
      </c>
      <c r="D5" s="2" t="s">
        <v>21</v>
      </c>
      <c r="E5" s="2" t="s">
        <v>22</v>
      </c>
      <c r="F5" s="6">
        <v>120</v>
      </c>
      <c r="G5" s="2" t="s">
        <v>19</v>
      </c>
      <c r="H5" s="2" t="s">
        <v>20</v>
      </c>
    </row>
    <row r="6" spans="1:8" x14ac:dyDescent="0.3">
      <c r="A6" s="1">
        <v>45511</v>
      </c>
      <c r="B6" s="13">
        <f>MONTH(tbl_operations[[#This Row],[Data ]])</f>
        <v>8</v>
      </c>
      <c r="C6" s="2" t="s">
        <v>12</v>
      </c>
      <c r="D6" s="2" t="s">
        <v>23</v>
      </c>
      <c r="E6" s="2" t="s">
        <v>24</v>
      </c>
      <c r="F6" s="6">
        <v>250</v>
      </c>
      <c r="G6" s="2" t="s">
        <v>10</v>
      </c>
      <c r="H6" s="2" t="s">
        <v>20</v>
      </c>
    </row>
    <row r="7" spans="1:8" x14ac:dyDescent="0.3">
      <c r="A7" s="1">
        <v>45514</v>
      </c>
      <c r="B7" s="13">
        <f>MONTH(tbl_operations[[#This Row],[Data ]])</f>
        <v>8</v>
      </c>
      <c r="C7" s="2" t="s">
        <v>12</v>
      </c>
      <c r="D7" s="2" t="s">
        <v>25</v>
      </c>
      <c r="E7" s="2" t="s">
        <v>26</v>
      </c>
      <c r="F7" s="6">
        <v>400</v>
      </c>
      <c r="G7" s="2" t="s">
        <v>15</v>
      </c>
      <c r="H7" s="2" t="s">
        <v>16</v>
      </c>
    </row>
    <row r="8" spans="1:8" x14ac:dyDescent="0.3">
      <c r="A8" s="1">
        <v>45516</v>
      </c>
      <c r="B8" s="13">
        <f>MONTH(tbl_operations[[#This Row],[Data ]])</f>
        <v>8</v>
      </c>
      <c r="C8" s="2" t="s">
        <v>12</v>
      </c>
      <c r="D8" s="2" t="s">
        <v>27</v>
      </c>
      <c r="E8" s="2" t="s">
        <v>28</v>
      </c>
      <c r="F8" s="6">
        <v>600</v>
      </c>
      <c r="G8" s="2" t="s">
        <v>19</v>
      </c>
      <c r="H8" s="2" t="s">
        <v>16</v>
      </c>
    </row>
    <row r="9" spans="1:8" x14ac:dyDescent="0.3">
      <c r="A9" s="1">
        <v>45519</v>
      </c>
      <c r="B9" s="13">
        <f>MONTH(tbl_operations[[#This Row],[Data ]])</f>
        <v>8</v>
      </c>
      <c r="C9" s="2" t="s">
        <v>7</v>
      </c>
      <c r="D9" s="2" t="s">
        <v>29</v>
      </c>
      <c r="E9" s="2" t="s">
        <v>30</v>
      </c>
      <c r="F9" s="6">
        <v>800</v>
      </c>
      <c r="G9" s="2" t="s">
        <v>10</v>
      </c>
      <c r="H9" s="2" t="s">
        <v>11</v>
      </c>
    </row>
    <row r="10" spans="1:8" x14ac:dyDescent="0.3">
      <c r="A10" s="1">
        <v>45519</v>
      </c>
      <c r="B10" s="13">
        <f>MONTH(tbl_operations[[#This Row],[Data ]])</f>
        <v>8</v>
      </c>
      <c r="C10" s="2" t="s">
        <v>12</v>
      </c>
      <c r="D10" s="2" t="s">
        <v>31</v>
      </c>
      <c r="E10" s="2" t="s">
        <v>32</v>
      </c>
      <c r="F10" s="6">
        <v>150</v>
      </c>
      <c r="G10" s="2" t="s">
        <v>10</v>
      </c>
      <c r="H10" s="2" t="s">
        <v>20</v>
      </c>
    </row>
    <row r="11" spans="1:8" x14ac:dyDescent="0.3">
      <c r="A11" s="1">
        <v>45522</v>
      </c>
      <c r="B11" s="13">
        <f>MONTH(tbl_operations[[#This Row],[Data ]])</f>
        <v>8</v>
      </c>
      <c r="C11" s="2" t="s">
        <v>12</v>
      </c>
      <c r="D11" s="2" t="s">
        <v>33</v>
      </c>
      <c r="E11" s="2" t="s">
        <v>34</v>
      </c>
      <c r="F11" s="6">
        <v>1200</v>
      </c>
      <c r="G11" s="2" t="s">
        <v>19</v>
      </c>
      <c r="H11" s="2" t="s">
        <v>16</v>
      </c>
    </row>
    <row r="12" spans="1:8" x14ac:dyDescent="0.3">
      <c r="A12" s="1">
        <v>45524</v>
      </c>
      <c r="B12" s="13">
        <f>MONTH(tbl_operations[[#This Row],[Data ]])</f>
        <v>8</v>
      </c>
      <c r="C12" s="2" t="s">
        <v>12</v>
      </c>
      <c r="D12" s="2" t="s">
        <v>35</v>
      </c>
      <c r="E12" s="2" t="s">
        <v>36</v>
      </c>
      <c r="F12" s="6">
        <v>450</v>
      </c>
      <c r="G12" s="2" t="s">
        <v>15</v>
      </c>
      <c r="H12" s="2" t="s">
        <v>20</v>
      </c>
    </row>
    <row r="13" spans="1:8" x14ac:dyDescent="0.3">
      <c r="A13" s="1">
        <v>45526</v>
      </c>
      <c r="B13" s="13">
        <f>MONTH(tbl_operations[[#This Row],[Data ]])</f>
        <v>8</v>
      </c>
      <c r="C13" s="2" t="s">
        <v>12</v>
      </c>
      <c r="D13" s="2" t="s">
        <v>37</v>
      </c>
      <c r="E13" s="2" t="s">
        <v>38</v>
      </c>
      <c r="F13" s="6">
        <v>180</v>
      </c>
      <c r="G13" s="2" t="s">
        <v>10</v>
      </c>
      <c r="H13" s="2" t="s">
        <v>16</v>
      </c>
    </row>
    <row r="14" spans="1:8" x14ac:dyDescent="0.3">
      <c r="A14" s="1">
        <v>45528</v>
      </c>
      <c r="B14" s="13">
        <f>MONTH(tbl_operations[[#This Row],[Data ]])</f>
        <v>8</v>
      </c>
      <c r="C14" s="2" t="s">
        <v>12</v>
      </c>
      <c r="D14" s="2" t="s">
        <v>39</v>
      </c>
      <c r="E14" s="2" t="s">
        <v>40</v>
      </c>
      <c r="F14" s="6">
        <v>90</v>
      </c>
      <c r="G14" s="2" t="s">
        <v>15</v>
      </c>
      <c r="H14" s="2" t="s">
        <v>20</v>
      </c>
    </row>
    <row r="15" spans="1:8" x14ac:dyDescent="0.3">
      <c r="A15" s="1">
        <v>45532</v>
      </c>
      <c r="B15" s="13">
        <f>MONTH(tbl_operations[[#This Row],[Data ]])</f>
        <v>8</v>
      </c>
      <c r="C15" s="2" t="s">
        <v>12</v>
      </c>
      <c r="D15" s="2" t="s">
        <v>41</v>
      </c>
      <c r="E15" s="2" t="s">
        <v>42</v>
      </c>
      <c r="F15" s="6">
        <v>200</v>
      </c>
      <c r="G15" s="2" t="s">
        <v>15</v>
      </c>
      <c r="H15" s="2" t="s">
        <v>20</v>
      </c>
    </row>
    <row r="16" spans="1:8" x14ac:dyDescent="0.3">
      <c r="A16" s="1">
        <v>45534</v>
      </c>
      <c r="B16" s="13">
        <f>MONTH(tbl_operations[[#This Row],[Data ]])</f>
        <v>8</v>
      </c>
      <c r="C16" s="2" t="s">
        <v>12</v>
      </c>
      <c r="D16" s="2" t="s">
        <v>43</v>
      </c>
      <c r="E16" s="2" t="s">
        <v>44</v>
      </c>
      <c r="F16" s="6">
        <v>750</v>
      </c>
      <c r="G16" s="2" t="s">
        <v>10</v>
      </c>
      <c r="H16" s="2" t="s">
        <v>16</v>
      </c>
    </row>
    <row r="17" spans="1:8" x14ac:dyDescent="0.3">
      <c r="A17" s="1">
        <v>45535</v>
      </c>
      <c r="B17" s="13">
        <f>MONTH(tbl_operations[[#This Row],[Data ]])</f>
        <v>8</v>
      </c>
      <c r="C17" s="2" t="s">
        <v>12</v>
      </c>
      <c r="D17" s="2" t="s">
        <v>45</v>
      </c>
      <c r="E17" s="2" t="s">
        <v>46</v>
      </c>
      <c r="F17" s="6">
        <v>350</v>
      </c>
      <c r="G17" s="2" t="s">
        <v>19</v>
      </c>
      <c r="H17" s="2" t="s">
        <v>20</v>
      </c>
    </row>
    <row r="18" spans="1:8" x14ac:dyDescent="0.3">
      <c r="A18" s="1">
        <v>45536</v>
      </c>
      <c r="B18" s="13">
        <f>MONTH(tbl_operations[[#This Row],[Data ]])</f>
        <v>9</v>
      </c>
      <c r="C18" s="2" t="s">
        <v>7</v>
      </c>
      <c r="D18" s="2" t="s">
        <v>8</v>
      </c>
      <c r="E18" s="2" t="s">
        <v>9</v>
      </c>
      <c r="F18" s="6">
        <v>5000</v>
      </c>
      <c r="G18" s="2" t="s">
        <v>10</v>
      </c>
      <c r="H18" s="2" t="s">
        <v>11</v>
      </c>
    </row>
    <row r="19" spans="1:8" x14ac:dyDescent="0.3">
      <c r="A19" s="1">
        <v>45537</v>
      </c>
      <c r="B19" s="13">
        <f>MONTH(tbl_operations[[#This Row],[Data ]])</f>
        <v>9</v>
      </c>
      <c r="C19" s="2" t="s">
        <v>12</v>
      </c>
      <c r="D19" s="2" t="s">
        <v>13</v>
      </c>
      <c r="E19" s="3" t="s">
        <v>14</v>
      </c>
      <c r="F19" s="6">
        <v>450</v>
      </c>
      <c r="G19" s="2" t="s">
        <v>15</v>
      </c>
      <c r="H19" s="2" t="s">
        <v>16</v>
      </c>
    </row>
    <row r="20" spans="1:8" x14ac:dyDescent="0.3">
      <c r="A20" s="1">
        <v>45540</v>
      </c>
      <c r="B20" s="13">
        <f>MONTH(tbl_operations[[#This Row],[Data ]])</f>
        <v>9</v>
      </c>
      <c r="C20" s="2" t="s">
        <v>12</v>
      </c>
      <c r="D20" s="2" t="s">
        <v>17</v>
      </c>
      <c r="E20" s="3" t="s">
        <v>18</v>
      </c>
      <c r="F20" s="6">
        <v>300</v>
      </c>
      <c r="G20" s="2" t="s">
        <v>15</v>
      </c>
      <c r="H20" s="2" t="s">
        <v>20</v>
      </c>
    </row>
    <row r="21" spans="1:8" x14ac:dyDescent="0.3">
      <c r="A21" s="1">
        <v>45543</v>
      </c>
      <c r="B21" s="13">
        <f>MONTH(tbl_operations[[#This Row],[Data ]])</f>
        <v>9</v>
      </c>
      <c r="C21" s="2" t="s">
        <v>12</v>
      </c>
      <c r="D21" s="2" t="s">
        <v>21</v>
      </c>
      <c r="E21" s="3" t="s">
        <v>47</v>
      </c>
      <c r="F21" s="6">
        <v>200</v>
      </c>
      <c r="G21" s="2" t="s">
        <v>10</v>
      </c>
      <c r="H21" s="2" t="s">
        <v>20</v>
      </c>
    </row>
    <row r="22" spans="1:8" x14ac:dyDescent="0.3">
      <c r="A22" s="1">
        <v>45546</v>
      </c>
      <c r="B22" s="13">
        <f>MONTH(tbl_operations[[#This Row],[Data ]])</f>
        <v>9</v>
      </c>
      <c r="C22" s="2" t="s">
        <v>12</v>
      </c>
      <c r="D22" s="2" t="s">
        <v>23</v>
      </c>
      <c r="E22" s="3" t="s">
        <v>48</v>
      </c>
      <c r="F22" s="6">
        <v>600</v>
      </c>
      <c r="G22" s="2" t="s">
        <v>15</v>
      </c>
      <c r="H22" s="2" t="s">
        <v>16</v>
      </c>
    </row>
    <row r="23" spans="1:8" x14ac:dyDescent="0.3">
      <c r="A23" s="1">
        <v>45549</v>
      </c>
      <c r="B23" s="13">
        <f>MONTH(tbl_operations[[#This Row],[Data ]])</f>
        <v>9</v>
      </c>
      <c r="C23" s="2" t="s">
        <v>12</v>
      </c>
      <c r="D23" s="2" t="s">
        <v>25</v>
      </c>
      <c r="E23" s="3" t="s">
        <v>26</v>
      </c>
      <c r="F23" s="6">
        <v>350</v>
      </c>
      <c r="G23" s="2" t="s">
        <v>10</v>
      </c>
      <c r="H23" s="2" t="s">
        <v>20</v>
      </c>
    </row>
    <row r="24" spans="1:8" x14ac:dyDescent="0.3">
      <c r="A24" s="1">
        <v>45552</v>
      </c>
      <c r="B24" s="13">
        <f>MONTH(tbl_operations[[#This Row],[Data ]])</f>
        <v>9</v>
      </c>
      <c r="C24" s="2" t="s">
        <v>12</v>
      </c>
      <c r="D24" s="2" t="s">
        <v>27</v>
      </c>
      <c r="E24" s="3" t="s">
        <v>49</v>
      </c>
      <c r="F24" s="6">
        <v>500</v>
      </c>
      <c r="G24" s="2" t="s">
        <v>19</v>
      </c>
      <c r="H24" s="2" t="s">
        <v>16</v>
      </c>
    </row>
    <row r="25" spans="1:8" x14ac:dyDescent="0.3">
      <c r="A25" s="1">
        <v>45555</v>
      </c>
      <c r="B25" s="13">
        <f>MONTH(tbl_operations[[#This Row],[Data ]])</f>
        <v>9</v>
      </c>
      <c r="C25" s="2" t="s">
        <v>7</v>
      </c>
      <c r="D25" s="2" t="s">
        <v>50</v>
      </c>
      <c r="E25" s="2" t="s">
        <v>51</v>
      </c>
      <c r="F25" s="6">
        <v>1200</v>
      </c>
      <c r="G25" s="2" t="s">
        <v>10</v>
      </c>
      <c r="H25" s="2" t="s">
        <v>11</v>
      </c>
    </row>
    <row r="26" spans="1:8" x14ac:dyDescent="0.3">
      <c r="A26" s="1">
        <v>45555</v>
      </c>
      <c r="B26" s="13">
        <f>MONTH(tbl_operations[[#This Row],[Data ]])</f>
        <v>9</v>
      </c>
      <c r="C26" s="2" t="s">
        <v>12</v>
      </c>
      <c r="D26" s="2" t="s">
        <v>31</v>
      </c>
      <c r="E26" s="3" t="s">
        <v>52</v>
      </c>
      <c r="F26" s="6">
        <v>800</v>
      </c>
      <c r="G26" s="2" t="s">
        <v>10</v>
      </c>
      <c r="H26" s="2" t="s">
        <v>20</v>
      </c>
    </row>
    <row r="27" spans="1:8" x14ac:dyDescent="0.3">
      <c r="A27" s="1">
        <v>45558</v>
      </c>
      <c r="B27" s="13">
        <f>MONTH(tbl_operations[[#This Row],[Data ]])</f>
        <v>9</v>
      </c>
      <c r="C27" s="2" t="s">
        <v>12</v>
      </c>
      <c r="D27" s="2" t="s">
        <v>33</v>
      </c>
      <c r="E27" s="3" t="s">
        <v>53</v>
      </c>
      <c r="F27" s="6">
        <v>1500</v>
      </c>
      <c r="G27" s="2" t="s">
        <v>19</v>
      </c>
      <c r="H27" s="2" t="s">
        <v>16</v>
      </c>
    </row>
    <row r="28" spans="1:8" x14ac:dyDescent="0.3">
      <c r="A28" s="1">
        <v>45561</v>
      </c>
      <c r="B28" s="13">
        <f>MONTH(tbl_operations[[#This Row],[Data ]])</f>
        <v>9</v>
      </c>
      <c r="C28" s="2" t="s">
        <v>12</v>
      </c>
      <c r="D28" s="2" t="s">
        <v>54</v>
      </c>
      <c r="E28" s="3" t="s">
        <v>55</v>
      </c>
      <c r="F28" s="6">
        <v>250</v>
      </c>
      <c r="G28" s="2" t="s">
        <v>15</v>
      </c>
      <c r="H28" s="2" t="s">
        <v>20</v>
      </c>
    </row>
    <row r="29" spans="1:8" x14ac:dyDescent="0.3">
      <c r="A29" s="1">
        <v>45564</v>
      </c>
      <c r="B29" s="13">
        <f>MONTH(tbl_operations[[#This Row],[Data ]])</f>
        <v>9</v>
      </c>
      <c r="C29" s="2" t="s">
        <v>12</v>
      </c>
      <c r="D29" s="2" t="s">
        <v>37</v>
      </c>
      <c r="E29" s="3" t="s">
        <v>56</v>
      </c>
      <c r="F29" s="6">
        <v>400</v>
      </c>
      <c r="G29" s="2" t="s">
        <v>19</v>
      </c>
      <c r="H29" s="2" t="s">
        <v>16</v>
      </c>
    </row>
    <row r="30" spans="1:8" x14ac:dyDescent="0.3">
      <c r="A30" s="1">
        <v>45566</v>
      </c>
      <c r="B30" s="13">
        <f>MONTH(tbl_operations[[#This Row],[Data ]])</f>
        <v>10</v>
      </c>
      <c r="C30" s="2" t="s">
        <v>7</v>
      </c>
      <c r="D30" s="2" t="s">
        <v>8</v>
      </c>
      <c r="E30" s="2" t="s">
        <v>9</v>
      </c>
      <c r="F30" s="6">
        <v>5000</v>
      </c>
      <c r="G30" s="2" t="s">
        <v>10</v>
      </c>
      <c r="H30" s="2" t="s">
        <v>11</v>
      </c>
    </row>
    <row r="31" spans="1:8" x14ac:dyDescent="0.3">
      <c r="A31" s="1">
        <v>45566</v>
      </c>
      <c r="B31" s="13">
        <f>MONTH(tbl_operations[[#This Row],[Data ]])</f>
        <v>10</v>
      </c>
      <c r="C31" s="2" t="s">
        <v>12</v>
      </c>
      <c r="D31" s="2" t="s">
        <v>13</v>
      </c>
      <c r="E31" s="2" t="s">
        <v>14</v>
      </c>
      <c r="F31" s="6">
        <v>600</v>
      </c>
      <c r="G31" s="2" t="s">
        <v>15</v>
      </c>
      <c r="H31" s="2" t="s">
        <v>16</v>
      </c>
    </row>
    <row r="32" spans="1:8" x14ac:dyDescent="0.3">
      <c r="A32" s="1">
        <v>45568</v>
      </c>
      <c r="B32" s="13">
        <f>MONTH(tbl_operations[[#This Row],[Data ]])</f>
        <v>10</v>
      </c>
      <c r="C32" s="2" t="s">
        <v>12</v>
      </c>
      <c r="D32" s="2" t="s">
        <v>17</v>
      </c>
      <c r="E32" s="2" t="s">
        <v>57</v>
      </c>
      <c r="F32" s="6">
        <v>200</v>
      </c>
      <c r="G32" s="2" t="s">
        <v>19</v>
      </c>
      <c r="H32" s="2" t="s">
        <v>20</v>
      </c>
    </row>
    <row r="33" spans="1:8" x14ac:dyDescent="0.3">
      <c r="A33" s="1">
        <v>45570</v>
      </c>
      <c r="B33" s="13">
        <f>MONTH(tbl_operations[[#This Row],[Data ]])</f>
        <v>10</v>
      </c>
      <c r="C33" s="2" t="s">
        <v>12</v>
      </c>
      <c r="D33" s="2" t="s">
        <v>21</v>
      </c>
      <c r="E33" s="2" t="s">
        <v>58</v>
      </c>
      <c r="F33" s="6">
        <v>180</v>
      </c>
      <c r="G33" s="2" t="s">
        <v>10</v>
      </c>
      <c r="H33" s="2" t="s">
        <v>20</v>
      </c>
    </row>
    <row r="34" spans="1:8" x14ac:dyDescent="0.3">
      <c r="A34" s="1">
        <v>45573</v>
      </c>
      <c r="B34" s="13">
        <f>MONTH(tbl_operations[[#This Row],[Data ]])</f>
        <v>10</v>
      </c>
      <c r="C34" s="2" t="s">
        <v>12</v>
      </c>
      <c r="D34" s="2" t="s">
        <v>23</v>
      </c>
      <c r="E34" s="2" t="s">
        <v>59</v>
      </c>
      <c r="F34" s="6">
        <v>120</v>
      </c>
      <c r="G34" s="2" t="s">
        <v>15</v>
      </c>
      <c r="H34" s="2" t="s">
        <v>16</v>
      </c>
    </row>
    <row r="35" spans="1:8" x14ac:dyDescent="0.3">
      <c r="A35" s="1">
        <v>45575</v>
      </c>
      <c r="B35" s="13">
        <f>MONTH(tbl_operations[[#This Row],[Data ]])</f>
        <v>10</v>
      </c>
      <c r="C35" s="2" t="s">
        <v>12</v>
      </c>
      <c r="D35" s="2" t="s">
        <v>25</v>
      </c>
      <c r="E35" s="2" t="s">
        <v>60</v>
      </c>
      <c r="F35" s="6">
        <v>350</v>
      </c>
      <c r="G35" s="2" t="s">
        <v>19</v>
      </c>
      <c r="H35" s="2" t="s">
        <v>16</v>
      </c>
    </row>
    <row r="36" spans="1:8" x14ac:dyDescent="0.3">
      <c r="A36" s="1">
        <v>45578</v>
      </c>
      <c r="B36" s="13">
        <f>MONTH(tbl_operations[[#This Row],[Data ]])</f>
        <v>10</v>
      </c>
      <c r="C36" s="2" t="s">
        <v>12</v>
      </c>
      <c r="D36" s="2" t="s">
        <v>27</v>
      </c>
      <c r="E36" s="2" t="s">
        <v>61</v>
      </c>
      <c r="F36" s="6">
        <v>400</v>
      </c>
      <c r="G36" s="2" t="s">
        <v>10</v>
      </c>
      <c r="H36" s="2" t="s">
        <v>20</v>
      </c>
    </row>
    <row r="37" spans="1:8" x14ac:dyDescent="0.3">
      <c r="A37" s="1">
        <v>45580</v>
      </c>
      <c r="B37" s="13">
        <f>MONTH(tbl_operations[[#This Row],[Data ]])</f>
        <v>10</v>
      </c>
      <c r="C37" s="2" t="s">
        <v>12</v>
      </c>
      <c r="D37" s="2" t="s">
        <v>31</v>
      </c>
      <c r="E37" s="2" t="s">
        <v>62</v>
      </c>
      <c r="F37" s="6">
        <v>450</v>
      </c>
      <c r="G37" s="2" t="s">
        <v>15</v>
      </c>
      <c r="H37" s="2" t="s">
        <v>20</v>
      </c>
    </row>
    <row r="38" spans="1:8" x14ac:dyDescent="0.3">
      <c r="A38" s="1">
        <v>45583</v>
      </c>
      <c r="B38" s="13">
        <f>MONTH(tbl_operations[[#This Row],[Data ]])</f>
        <v>10</v>
      </c>
      <c r="C38" s="2" t="s">
        <v>7</v>
      </c>
      <c r="D38" s="2" t="s">
        <v>63</v>
      </c>
      <c r="E38" s="2" t="s">
        <v>64</v>
      </c>
      <c r="F38" s="6">
        <v>1500</v>
      </c>
      <c r="G38" s="2" t="s">
        <v>10</v>
      </c>
      <c r="H38" s="2" t="s">
        <v>11</v>
      </c>
    </row>
    <row r="39" spans="1:8" x14ac:dyDescent="0.3">
      <c r="A39" s="1">
        <v>45583</v>
      </c>
      <c r="B39" s="13">
        <f>MONTH(tbl_operations[[#This Row],[Data ]])</f>
        <v>10</v>
      </c>
      <c r="C39" s="2" t="s">
        <v>12</v>
      </c>
      <c r="D39" s="2" t="s">
        <v>33</v>
      </c>
      <c r="E39" s="2" t="s">
        <v>65</v>
      </c>
      <c r="F39" s="6">
        <v>300</v>
      </c>
      <c r="G39" s="2" t="s">
        <v>19</v>
      </c>
      <c r="H39" s="2" t="s">
        <v>16</v>
      </c>
    </row>
    <row r="40" spans="1:8" x14ac:dyDescent="0.3">
      <c r="A40" s="1">
        <v>45585</v>
      </c>
      <c r="B40" s="13">
        <f>MONTH(tbl_operations[[#This Row],[Data ]])</f>
        <v>10</v>
      </c>
      <c r="C40" s="2" t="s">
        <v>12</v>
      </c>
      <c r="D40" s="2" t="s">
        <v>35</v>
      </c>
      <c r="E40" s="2" t="s">
        <v>66</v>
      </c>
      <c r="F40" s="6">
        <v>800</v>
      </c>
      <c r="G40" s="2" t="s">
        <v>10</v>
      </c>
      <c r="H40" s="2" t="s">
        <v>20</v>
      </c>
    </row>
    <row r="41" spans="1:8" x14ac:dyDescent="0.3">
      <c r="A41" s="1">
        <v>45587</v>
      </c>
      <c r="B41" s="13">
        <f>MONTH(tbl_operations[[#This Row],[Data ]])</f>
        <v>10</v>
      </c>
      <c r="C41" s="2" t="s">
        <v>12</v>
      </c>
      <c r="D41" s="2" t="s">
        <v>37</v>
      </c>
      <c r="E41" s="2" t="s">
        <v>67</v>
      </c>
      <c r="F41" s="6">
        <v>250</v>
      </c>
      <c r="G41" s="2" t="s">
        <v>19</v>
      </c>
      <c r="H41" s="2" t="s">
        <v>16</v>
      </c>
    </row>
    <row r="42" spans="1:8" x14ac:dyDescent="0.3">
      <c r="A42" s="1">
        <v>45589</v>
      </c>
      <c r="B42" s="13">
        <f>MONTH(tbl_operations[[#This Row],[Data ]])</f>
        <v>10</v>
      </c>
      <c r="C42" s="2" t="s">
        <v>12</v>
      </c>
      <c r="D42" s="2" t="s">
        <v>41</v>
      </c>
      <c r="E42" s="2" t="s">
        <v>68</v>
      </c>
      <c r="F42" s="6">
        <v>150</v>
      </c>
      <c r="G42" s="2" t="s">
        <v>15</v>
      </c>
      <c r="H42" s="2" t="s">
        <v>20</v>
      </c>
    </row>
    <row r="43" spans="1:8" x14ac:dyDescent="0.3">
      <c r="A43" s="1">
        <v>45591</v>
      </c>
      <c r="B43" s="13">
        <f>MONTH(tbl_operations[[#This Row],[Data ]])</f>
        <v>10</v>
      </c>
      <c r="C43" s="2" t="s">
        <v>12</v>
      </c>
      <c r="D43" s="2" t="s">
        <v>39</v>
      </c>
      <c r="E43" s="2" t="s">
        <v>69</v>
      </c>
      <c r="F43" s="6">
        <v>250</v>
      </c>
      <c r="G43" s="2" t="s">
        <v>10</v>
      </c>
      <c r="H43" s="2" t="s">
        <v>16</v>
      </c>
    </row>
    <row r="44" spans="1:8" x14ac:dyDescent="0.3">
      <c r="A44" s="1">
        <v>45595</v>
      </c>
      <c r="B44" s="13">
        <f>MONTH(tbl_operations[[#This Row],[Data ]])</f>
        <v>10</v>
      </c>
      <c r="C44" s="2" t="s">
        <v>12</v>
      </c>
      <c r="D44" s="2" t="s">
        <v>45</v>
      </c>
      <c r="E44" s="2" t="s">
        <v>70</v>
      </c>
      <c r="F44" s="6">
        <v>220</v>
      </c>
      <c r="G44" s="2" t="s">
        <v>10</v>
      </c>
      <c r="H44" s="2" t="s">
        <v>16</v>
      </c>
    </row>
    <row r="45" spans="1:8" x14ac:dyDescent="0.3">
      <c r="A45" s="1">
        <v>45596</v>
      </c>
      <c r="B45" s="13">
        <f>MONTH(tbl_operations[[#This Row],[Data ]])</f>
        <v>10</v>
      </c>
      <c r="C45" s="2" t="s">
        <v>12</v>
      </c>
      <c r="D45" s="2" t="s">
        <v>43</v>
      </c>
      <c r="E45" s="2" t="s">
        <v>71</v>
      </c>
      <c r="F45" s="6">
        <v>500</v>
      </c>
      <c r="G45" s="2" t="s">
        <v>19</v>
      </c>
      <c r="H45" s="2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CD3A-F557-428F-85CB-77A57848A762}">
  <sheetPr>
    <tabColor rgb="FF00B0F0"/>
  </sheetPr>
  <dimension ref="C1:H14"/>
  <sheetViews>
    <sheetView topLeftCell="B1" workbookViewId="0"/>
  </sheetViews>
  <sheetFormatPr defaultRowHeight="14.4" x14ac:dyDescent="0.3"/>
  <cols>
    <col min="1" max="1" width="17.19921875" bestFit="1" customWidth="1"/>
    <col min="2" max="2" width="13.19921875" bestFit="1" customWidth="1"/>
    <col min="3" max="3" width="17.19921875" bestFit="1" customWidth="1"/>
    <col min="4" max="4" width="13.19921875" bestFit="1" customWidth="1"/>
    <col min="6" max="6" width="7.59765625" customWidth="1"/>
    <col min="7" max="7" width="17.19921875" bestFit="1" customWidth="1"/>
    <col min="8" max="8" width="13.19921875" bestFit="1" customWidth="1"/>
  </cols>
  <sheetData>
    <row r="1" spans="3:8" x14ac:dyDescent="0.3">
      <c r="C1" s="7" t="s">
        <v>1</v>
      </c>
      <c r="D1" t="s">
        <v>12</v>
      </c>
      <c r="G1" s="7" t="s">
        <v>1</v>
      </c>
      <c r="H1" t="s">
        <v>7</v>
      </c>
    </row>
    <row r="3" spans="3:8" x14ac:dyDescent="0.3">
      <c r="C3" s="7" t="s">
        <v>72</v>
      </c>
      <c r="D3" t="s">
        <v>74</v>
      </c>
      <c r="G3" s="7" t="s">
        <v>72</v>
      </c>
      <c r="H3" t="s">
        <v>74</v>
      </c>
    </row>
    <row r="4" spans="3:8" x14ac:dyDescent="0.3">
      <c r="C4" s="8" t="s">
        <v>13</v>
      </c>
      <c r="D4" s="9">
        <v>450</v>
      </c>
      <c r="G4" s="8" t="s">
        <v>50</v>
      </c>
      <c r="H4" s="9">
        <v>1200</v>
      </c>
    </row>
    <row r="5" spans="3:8" x14ac:dyDescent="0.3">
      <c r="C5" s="8" t="s">
        <v>25</v>
      </c>
      <c r="D5" s="9">
        <v>350</v>
      </c>
      <c r="G5" s="8" t="s">
        <v>8</v>
      </c>
      <c r="H5" s="9">
        <v>5000</v>
      </c>
    </row>
    <row r="6" spans="3:8" x14ac:dyDescent="0.3">
      <c r="C6" s="8" t="s">
        <v>33</v>
      </c>
      <c r="D6" s="9">
        <v>1500</v>
      </c>
      <c r="G6" s="8" t="s">
        <v>73</v>
      </c>
      <c r="H6" s="9">
        <v>6200</v>
      </c>
    </row>
    <row r="7" spans="3:8" x14ac:dyDescent="0.3">
      <c r="C7" s="8" t="s">
        <v>21</v>
      </c>
      <c r="D7" s="9">
        <v>200</v>
      </c>
    </row>
    <row r="8" spans="3:8" x14ac:dyDescent="0.3">
      <c r="C8" s="8" t="s">
        <v>37</v>
      </c>
      <c r="D8" s="9">
        <v>400</v>
      </c>
    </row>
    <row r="9" spans="3:8" x14ac:dyDescent="0.3">
      <c r="C9" s="8" t="s">
        <v>23</v>
      </c>
      <c r="D9" s="9">
        <v>600</v>
      </c>
    </row>
    <row r="10" spans="3:8" x14ac:dyDescent="0.3">
      <c r="C10" s="8" t="s">
        <v>31</v>
      </c>
      <c r="D10" s="9">
        <v>800</v>
      </c>
    </row>
    <row r="11" spans="3:8" x14ac:dyDescent="0.3">
      <c r="C11" s="8" t="s">
        <v>17</v>
      </c>
      <c r="D11" s="9">
        <v>300</v>
      </c>
    </row>
    <row r="12" spans="3:8" x14ac:dyDescent="0.3">
      <c r="C12" s="8" t="s">
        <v>54</v>
      </c>
      <c r="D12" s="9">
        <v>250</v>
      </c>
    </row>
    <row r="13" spans="3:8" x14ac:dyDescent="0.3">
      <c r="C13" s="8" t="s">
        <v>27</v>
      </c>
      <c r="D13" s="9">
        <v>500</v>
      </c>
    </row>
    <row r="14" spans="3:8" x14ac:dyDescent="0.3">
      <c r="C14" s="8" t="s">
        <v>73</v>
      </c>
      <c r="D14" s="9">
        <v>5350</v>
      </c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2D33-5C97-42C0-9DCB-D57A5AA70030}">
  <dimension ref="A13:U13"/>
  <sheetViews>
    <sheetView showGridLines="0" showRowColHeaders="0" tabSelected="1" zoomScale="85" zoomScaleNormal="85" workbookViewId="0">
      <selection activeCell="A31" sqref="A31"/>
    </sheetView>
  </sheetViews>
  <sheetFormatPr defaultColWidth="0" defaultRowHeight="14.4" x14ac:dyDescent="0.3"/>
  <cols>
    <col min="1" max="1" width="32.8984375" style="10" customWidth="1"/>
    <col min="2" max="21" width="8.796875" style="11" customWidth="1"/>
    <col min="22" max="16384" width="8.796875" hidden="1"/>
  </cols>
  <sheetData>
    <row r="13" spans="17:17" x14ac:dyDescent="0.3">
      <c r="Q1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0D66-8765-4F27-83AA-7FFE1A35EC32}">
  <sheetPr>
    <tabColor rgb="FF00B0F0"/>
  </sheetPr>
  <dimension ref="C1:D20"/>
  <sheetViews>
    <sheetView workbookViewId="0"/>
  </sheetViews>
  <sheetFormatPr defaultRowHeight="14.4" x14ac:dyDescent="0.3"/>
  <cols>
    <col min="3" max="3" width="19.69921875" customWidth="1"/>
    <col min="4" max="4" width="19.09765625" style="9" customWidth="1"/>
  </cols>
  <sheetData>
    <row r="1" spans="3:4" s="10" customFormat="1" ht="103.6" customHeight="1" x14ac:dyDescent="0.3">
      <c r="D1" s="14"/>
    </row>
    <row r="3" spans="3:4" x14ac:dyDescent="0.3">
      <c r="C3" s="15" t="s">
        <v>78</v>
      </c>
      <c r="D3" s="9">
        <f>SUM(Tabela4[Deposito reservado])</f>
        <v>6848</v>
      </c>
    </row>
    <row r="4" spans="3:4" x14ac:dyDescent="0.3">
      <c r="C4" s="15" t="s">
        <v>79</v>
      </c>
      <c r="D4" s="9">
        <v>20000</v>
      </c>
    </row>
    <row r="6" spans="3:4" x14ac:dyDescent="0.3">
      <c r="C6" t="s">
        <v>76</v>
      </c>
      <c r="D6" s="9" t="s">
        <v>77</v>
      </c>
    </row>
    <row r="7" spans="3:4" x14ac:dyDescent="0.3">
      <c r="C7" s="4">
        <v>45603</v>
      </c>
      <c r="D7" s="9">
        <v>50</v>
      </c>
    </row>
    <row r="8" spans="3:4" x14ac:dyDescent="0.3">
      <c r="C8" s="4">
        <v>45604</v>
      </c>
      <c r="D8" s="9">
        <v>977</v>
      </c>
    </row>
    <row r="9" spans="3:4" x14ac:dyDescent="0.3">
      <c r="C9" s="4">
        <v>45605</v>
      </c>
      <c r="D9" s="9">
        <v>720</v>
      </c>
    </row>
    <row r="10" spans="3:4" x14ac:dyDescent="0.3">
      <c r="C10" s="4">
        <v>45606</v>
      </c>
      <c r="D10" s="9">
        <v>457</v>
      </c>
    </row>
    <row r="11" spans="3:4" x14ac:dyDescent="0.3">
      <c r="C11" s="4">
        <v>45607</v>
      </c>
      <c r="D11" s="9">
        <v>403</v>
      </c>
    </row>
    <row r="12" spans="3:4" x14ac:dyDescent="0.3">
      <c r="C12" s="4">
        <v>45608</v>
      </c>
      <c r="D12" s="9">
        <v>28</v>
      </c>
    </row>
    <row r="13" spans="3:4" x14ac:dyDescent="0.3">
      <c r="C13" s="4">
        <v>45609</v>
      </c>
      <c r="D13" s="9">
        <v>320</v>
      </c>
    </row>
    <row r="14" spans="3:4" x14ac:dyDescent="0.3">
      <c r="C14" s="4">
        <v>45610</v>
      </c>
      <c r="D14" s="9">
        <v>321</v>
      </c>
    </row>
    <row r="15" spans="3:4" x14ac:dyDescent="0.3">
      <c r="C15" s="4">
        <v>45611</v>
      </c>
      <c r="D15" s="9">
        <v>967</v>
      </c>
    </row>
    <row r="16" spans="3:4" x14ac:dyDescent="0.3">
      <c r="C16" s="4">
        <v>45612</v>
      </c>
      <c r="D16" s="9">
        <v>794</v>
      </c>
    </row>
    <row r="17" spans="3:4" x14ac:dyDescent="0.3">
      <c r="C17" s="4">
        <v>45613</v>
      </c>
      <c r="D17" s="9">
        <v>883</v>
      </c>
    </row>
    <row r="18" spans="3:4" x14ac:dyDescent="0.3">
      <c r="C18" s="4">
        <v>45614</v>
      </c>
      <c r="D18" s="9">
        <v>282</v>
      </c>
    </row>
    <row r="19" spans="3:4" x14ac:dyDescent="0.3">
      <c r="C19" s="4">
        <v>45615</v>
      </c>
      <c r="D19" s="9">
        <v>36</v>
      </c>
    </row>
    <row r="20" spans="3:4" x14ac:dyDescent="0.3">
      <c r="C20" s="4">
        <v>45616</v>
      </c>
      <c r="D20" s="9">
        <v>610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Controlier</vt:lpstr>
      <vt:lpstr>Dashboard</vt:lpstr>
      <vt:lpstr>Caixinha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 Camargo Coelho</dc:creator>
  <cp:lastModifiedBy>Leonardo de Camargo Coelho</cp:lastModifiedBy>
  <dcterms:created xsi:type="dcterms:W3CDTF">2025-01-17T13:24:28Z</dcterms:created>
  <dcterms:modified xsi:type="dcterms:W3CDTF">2025-01-17T15:17:23Z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33b259-87ee-4762-9a8c-7b0d155dd87f_Enabled">
    <vt:lpwstr>true</vt:lpwstr>
  </property>
  <property fmtid="{D5CDD505-2E9C-101B-9397-08002B2CF9AE}" pid="3" name="MSIP_Label_9333b259-87ee-4762-9a8c-7b0d155dd87f_SetDate">
    <vt:lpwstr>2025-01-17T15:17:23Z</vt:lpwstr>
  </property>
  <property fmtid="{D5CDD505-2E9C-101B-9397-08002B2CF9AE}" pid="4" name="MSIP_Label_9333b259-87ee-4762-9a8c-7b0d155dd87f_Method">
    <vt:lpwstr>Privileged</vt:lpwstr>
  </property>
  <property fmtid="{D5CDD505-2E9C-101B-9397-08002B2CF9AE}" pid="5" name="MSIP_Label_9333b259-87ee-4762-9a8c-7b0d155dd87f_Name">
    <vt:lpwstr>_PESSOAL</vt:lpwstr>
  </property>
  <property fmtid="{D5CDD505-2E9C-101B-9397-08002B2CF9AE}" pid="6" name="MSIP_Label_9333b259-87ee-4762-9a8c-7b0d155dd87f_SiteId">
    <vt:lpwstr>ab9bba98-684a-43fb-add8-9c2bebede229</vt:lpwstr>
  </property>
  <property fmtid="{D5CDD505-2E9C-101B-9397-08002B2CF9AE}" pid="7" name="MSIP_Label_9333b259-87ee-4762-9a8c-7b0d155dd87f_ActionId">
    <vt:lpwstr>831db619-2564-45c8-925c-ae3daf1546ff</vt:lpwstr>
  </property>
  <property fmtid="{D5CDD505-2E9C-101B-9397-08002B2CF9AE}" pid="8" name="MSIP_Label_9333b259-87ee-4762-9a8c-7b0d155dd87f_ContentBits">
    <vt:lpwstr>1</vt:lpwstr>
  </property>
</Properties>
</file>